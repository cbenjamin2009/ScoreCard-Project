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home\master\Development\ScoreCard Project\assets\"/>
    </mc:Choice>
  </mc:AlternateContent>
  <xr:revisionPtr revIDLastSave="0" documentId="8_{8141E155-BFF1-494F-B964-A0D499CACBE1}" xr6:coauthVersionLast="47" xr6:coauthVersionMax="47" xr10:uidLastSave="{00000000-0000-0000-0000-000000000000}"/>
  <bookViews>
    <workbookView xWindow="3165" yWindow="1665" windowWidth="21600" windowHeight="11295" activeTab="3" xr2:uid="{00000000-000D-0000-FFFF-FFFF00000000}"/>
  </bookViews>
  <sheets>
    <sheet name="IT Monthly 2026" sheetId="8" r:id="rId1"/>
    <sheet name="2024" sheetId="2" state="hidden" r:id="rId2"/>
    <sheet name="Sheet1" sheetId="6" state="hidden" r:id="rId3"/>
    <sheet name="EOS 2026" sheetId="9" r:id="rId4"/>
    <sheet name="IT Monthly 2025" sheetId="4" r:id="rId5"/>
    <sheet name="EOS 2025" sheetId="5" r:id="rId6"/>
    <sheet name="2023" sheetId="1" state="hidden" r:id="rId7"/>
    <sheet name="Todd KPI" sheetId="3" state="hidden" r:id="rId8"/>
    <sheet name="2026-old" sheetId="7" r:id="rId9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9" l="1"/>
  <c r="E8" i="9"/>
  <c r="BE20" i="5"/>
  <c r="AY18" i="5"/>
  <c r="P19" i="7"/>
  <c r="P18" i="7"/>
  <c r="P17" i="7"/>
  <c r="P16" i="7"/>
  <c r="P15" i="7"/>
  <c r="P14" i="7"/>
  <c r="P13" i="7"/>
  <c r="P12" i="7"/>
  <c r="P11" i="7"/>
  <c r="P10" i="7"/>
  <c r="P9" i="7"/>
  <c r="P8" i="7"/>
  <c r="P6" i="7"/>
  <c r="P11" i="4"/>
  <c r="BE6" i="5"/>
  <c r="BE8" i="5"/>
  <c r="BE9" i="5"/>
  <c r="BE10" i="5"/>
  <c r="BE11" i="5"/>
  <c r="BE12" i="5"/>
  <c r="BE15" i="5"/>
  <c r="BE16" i="5"/>
  <c r="BE17" i="5"/>
  <c r="BE19" i="5"/>
  <c r="BE21" i="5"/>
  <c r="BE5" i="5"/>
  <c r="AV18" i="5"/>
  <c r="AW18" i="5"/>
  <c r="M8" i="4"/>
  <c r="AL14" i="5"/>
  <c r="BE14" i="5" s="1"/>
  <c r="L7" i="5"/>
  <c r="BE7" i="5" s="1"/>
  <c r="D18" i="5"/>
  <c r="BE18" i="5" s="1"/>
  <c r="P23" i="4"/>
  <c r="P22" i="4"/>
  <c r="P21" i="4"/>
  <c r="P20" i="4"/>
  <c r="P19" i="4"/>
  <c r="P18" i="4"/>
  <c r="P17" i="4"/>
  <c r="P16" i="4"/>
  <c r="P14" i="4"/>
  <c r="P13" i="4"/>
  <c r="P12" i="4"/>
  <c r="P10" i="4"/>
  <c r="P9" i="4"/>
  <c r="P8" i="4"/>
  <c r="P7" i="4"/>
  <c r="P5" i="4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tc={4B9D56DE-2551-49E0-B9EE-4BC5CAF4044A}</author>
    <author>tc={0A06B7F8-A39C-4BA7-87B2-3885CB00640A}</author>
  </authors>
  <commentList>
    <comment ref="B5" authorId="0" shapeId="0" xr:uid="{4B9D56DE-2551-49E0-B9EE-4BC5CAF4044A}">
      <text>
        <t>[Threaded comment]
Your version of Excel allows you to read this threaded comment; however, any edits to it will get removed if the file is opened in a newer version of Excel. Learn more: https://go.microsoft.com/fwlink/?linkid=870924
Comment:
    Unplanned Change Tickets</t>
      </text>
    </comment>
    <comment ref="B19" authorId="1" shapeId="0" xr:uid="{0A06B7F8-A39C-4BA7-87B2-3885CB0064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Patch Status Summary - All sites except unassigned and decommissioned. Patch Class Critical Updates, Exclude retired devices and hide excluded patches.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tc={8D082BD5-E091-43B3-8850-34F5DE8CBEBE}</author>
    <author>tc={CFF0DE77-2AC3-4EF6-AE2F-46014485B917}</author>
    <author>tc={6884BE93-AA26-4381-9414-EA4D4BB84F8E}</author>
    <author>tc={CFB02731-6C03-4D7F-B897-72F102A09C81}</author>
    <author>tc={145A8E14-CC7B-40EF-82D6-42939C9DDEDD}</author>
    <author>tc={E7E198F1-9A1A-4768-B4C4-3DC458734555}</author>
    <author>tc={34855B8D-E6CA-451A-8BE1-FAB6DB558110}</author>
    <author>tc={75011902-A149-486C-840C-EEE7D00FC690}</author>
    <author>tc={DECBCE94-0597-478A-AA24-C7296B52AE37}</author>
    <author>tc={4B3ED0A6-4896-4F43-98F8-D979D1C8A3E0}</author>
    <author>tc={B138D126-0E0D-42BF-8EC4-DC379FCDF8DA}</author>
    <author>tc={B441569A-EB93-4003-85CE-AAC713223C76}</author>
    <author>tc={F03F9F60-5316-4A8A-A20E-462E746A6316}</author>
    <author>tc={672DAC10-1842-4FB2-A75C-F7DB466881C8}</author>
    <author>tc={B6F4DD7F-7782-44C0-8F67-575AD1904029}</author>
    <author>tc={19B21BB9-65B2-47BF-835B-C46089427989}</author>
    <author>tc={C39C6231-ED07-437B-BA52-38964B1D77F7}</author>
    <author>tc={E903CF1D-FDCA-460D-820F-17EFEE300702}</author>
    <author>tc={74401A66-88E9-4F1B-BA8B-D6E15FF65898}</author>
    <author>tc={0D136217-0759-4BBB-A385-584FEF28A25E}</author>
    <author>tc={2F73A985-1659-431D-BB39-79AF5949C437}</author>
    <author>tc={1FD7FDC7-CF2F-4270-A016-3FC2E1235BA2}</author>
    <author>tc={5B9C97C9-B826-4662-AAFA-40D1F94DD87C}</author>
    <author>tc={219CAA01-1C0D-47F1-8E8C-265532EF7290}</author>
    <author>tc={D2BBD96B-CECA-4C2B-8B53-58688A13396A}</author>
    <author>tc={0935C648-F949-423C-A87E-7808872C1483}</author>
    <author>tc={8E8949FD-19D2-46D7-A73F-83A8AB549FD8}</author>
    <author>tc={9F94AA4C-F3F2-4738-AAAD-AEE5509A592B}</author>
    <author>tc={1F489461-7D22-4472-9E1A-E644D5AF43F1}</author>
    <author>tc={FE5A7296-97A8-4706-9F3D-75394FCC86CE}</author>
    <author>tc={A18E06BA-D3A0-4D08-9688-3B303BEFB7EE}</author>
    <author>tc={193462A9-EFE7-4BD4-863D-39103C7B4B6F}</author>
    <author>tc={D2721DCC-984D-4469-B8F3-481901B69D55}</author>
    <author>tc={611B92E3-8518-41DD-8E05-ADD4EF748886}</author>
    <author>tc={AE37BBD8-5989-4124-A4CE-289A24A98D12}</author>
  </authors>
  <commentList>
    <comment ref="E4" authorId="0" shapeId="0" xr:uid="{8D082BD5-E091-43B3-8850-34F5DE8CBEBE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Support Transition</t>
      </text>
    </comment>
    <comment ref="B9" authorId="1" shapeId="0" xr:uid="{CFF0DE77-2AC3-4EF6-AE2F-46014485B917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General Report -&gt; Period 'Last Month' -&gt; Opened Ticket Value</t>
      </text>
    </comment>
    <comment ref="E9" authorId="2" shapeId="0" xr:uid="{6884BE93-AA26-4381-9414-EA4D4BB84F8E}">
      <text>
        <t>[Threaded comment]
Your version of Excel allows you to read this threaded comment; however, any edits to it will get removed if the file is opened in a newer version of Excel. Learn more: https://go.microsoft.com/fwlink/?linkid=870924
Comment:
    RCC: 68
HR: 24
HQ: 19
RFS: 27
RRI: 23
RDC: 5
RCAP: 7
IT: 13
RPI: 10
STE: 2</t>
      </text>
    </comment>
    <comment ref="B10" authorId="3" shapeId="0" xr:uid="{CFB02731-6C03-4D7F-B897-72F102A09C81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Technician Comparison -&gt; Time Period 'Last Month' -&gt; Technicians 'ALL' -&gt; Average First Response Value</t>
      </text>
    </comment>
    <comment ref="B11" authorId="4" shapeId="0" xr:uid="{145A8E14-CC7B-40EF-82D6-42939C9DDE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-&gt; Reports -&gt; Top Load Sites Report -&gt; Time Period Last Month and Item Count 20 -&gt; Avg. Ticket Duration value. </t>
      </text>
    </comment>
    <comment ref="B12" authorId="5" shapeId="0" xr:uid="{E7E198F1-9A1A-4768-B4C4-3DC458734555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Satisfied Users -&gt; Last Month -&gt; Item Count - max</t>
      </text>
    </comment>
    <comment ref="B13" authorId="6" shapeId="0" xr:uid="{34855B8D-E6CA-451A-8BE1-FAB6DB55811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Responded within SLA</t>
      </text>
    </comment>
    <comment ref="B14" authorId="7" shapeId="0" xr:uid="{75011902-A149-486C-840C-EEE7D00FC69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Closed within SLA</t>
      </text>
    </comment>
    <comment ref="B15" authorId="8" shapeId="0" xr:uid="{DECBCE94-0597-478A-AA24-C7296B52AE3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Datto -&gt; Console -&gt; Reports -&gt; Backup Reports -&gt; Past Month</t>
      </text>
    </comment>
    <comment ref="L15" authorId="9" shapeId="0" xr:uid="{4B3ED0A6-4896-4F43-98F8-D979D1C8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Server issue caused a few missed backups</t>
      </text>
    </comment>
    <comment ref="M15" authorId="10" shapeId="0" xr:uid="{B138D126-0E0D-42BF-8EC4-DC379FCDF8DA}">
      <text>
        <t>[Threaded comment]
Your version of Excel allows you to read this threaded comment; however, any edits to it will get removed if the file is opened in a newer version of Excel. Learn more: https://go.microsoft.com/fwlink/?linkid=870924
Comment:
    1 Day Failure after Power Outage</t>
      </text>
    </comment>
    <comment ref="B16" authorId="11" shapeId="0" xr:uid="{B441569A-EB93-4003-85CE-AAC713223C7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Datto -&gt; SaaS Protection -&gt; Admin -&gt; Reporting -&gt; Last Month</t>
      </text>
    </comment>
    <comment ref="J16" authorId="12" shapeId="0" xr:uid="{F03F9F60-5316-4A8A-A20E-462E746A6316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failure rate in July, ticket created with ITG</t>
      </text>
    </comment>
    <comment ref="B17" authorId="13" shapeId="0" xr:uid="{672DAC10-1842-4FB2-A75C-F7DB466881C8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Patch Status Summary -&gt; Site Names 'All except Unassigned, Decomissioned', Patch Class 'Critical', Exclude Retired</t>
      </text>
    </comment>
    <comment ref="B20" authorId="14" shapeId="0" xr:uid="{B6F4DD7F-7782-44C0-8F67-575AD1904029}">
      <text>
        <t>[Threaded comment]
Your version of Excel allows you to read this threaded comment; however, any edits to it will get removed if the file is opened in a newer version of Excel. Learn more: https://go.microsoft.com/fwlink/?linkid=870924
Comment:
    KnowBe4 -&gt; Training -&gt; Recent Quarterly Campaign -&gt; Completion %</t>
      </text>
    </comment>
    <comment ref="M20" authorId="15" shapeId="0" xr:uid="{19B21BB9-65B2-47BF-835B-C460894279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users have not completed, despite multiple emails (Alex Willing, Caleb Boston, Greg Jasper, Matt Smith). </t>
      </text>
    </comment>
    <comment ref="B21" authorId="16" shapeId="0" xr:uid="{C39C6231-ED07-437B-BA52-38964B1D77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KnowBe4 -&gt; Phishing -&gt; Campaigns -&gt; Last Month -&gt; Phish-Prone % value
</t>
      </text>
    </comment>
    <comment ref="B22" authorId="17" shapeId="0" xr:uid="{E903CF1D-FDCA-460D-820F-17EFEE300702}">
      <text>
        <t>[Threaded comment]
Your version of Excel allows you to read this threaded comment; however, any edits to it will get removed if the file is opened in a newer version of Excel. Learn more: https://go.microsoft.com/fwlink/?linkid=870924
Comment:
    KnowBe4 -&gt; Phishing -&gt; Campaigns -&gt; Last Months -&gt; Users -&gt; Failures</t>
      </text>
    </comment>
    <comment ref="E22" authorId="18" shapeId="0" xr:uid="{74401A66-88E9-4F1B-BA8B-D6E15FF65898}">
      <text>
        <t>[Threaded comment]
Your version of Excel allows you to read this threaded comment; however, any edits to it will get removed if the file is opened in a newer version of Excel. Learn more: https://go.microsoft.com/fwlink/?linkid=870924
Comment:
    Failures: Ray W. &amp; Rick Bisol</t>
      </text>
    </comment>
    <comment ref="F22" authorId="19" shapeId="0" xr:uid="{0D136217-0759-4BBB-A385-584FEF28A2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Travis Riebe, Lee Kilcup, Emily Frankland, Evan Peterson, Jeff Swanson, 
</t>
      </text>
    </comment>
    <comment ref="G22" authorId="20" shapeId="0" xr:uid="{2F73A985-1659-431D-BB39-79AF5949C4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Suzanne, Jeff S., Trevor, Laura, Bob
</t>
      </text>
    </comment>
    <comment ref="H22" authorId="21" shapeId="0" xr:uid="{1FD7FDC7-CF2F-4270-A016-3FC2E1235B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Quinn, Jim (opened email &amp; attachment), Alena, Melina, Javier
</t>
      </text>
    </comment>
    <comment ref="I22" authorId="22" shapeId="0" xr:uid="{5B9C97C9-B826-4662-AAFA-40D1F94DD87C}">
      <text>
        <t>[Threaded comment]
Your version of Excel allows you to read this threaded comment; however, any edits to it will get removed if the file is opened in a newer version of Excel. Learn more: https://go.microsoft.com/fwlink/?linkid=870924
Comment:
    Evan, Nathan, Steve D., Scott Walker, Juli</t>
      </text>
    </comment>
    <comment ref="J22" authorId="23" shapeId="0" xr:uid="{219CAA01-1C0D-47F1-8E8C-265532EF7290}">
      <text>
        <t>[Threaded comment]
Your version of Excel allows you to read this threaded comment; however, any edits to it will get removed if the file is opened in a newer version of Excel. Learn more: https://go.microsoft.com/fwlink/?linkid=870924
Comment:
    Alex D., Dawn J., Cory F., Steve D., Kurt W.</t>
      </text>
    </comment>
    <comment ref="K22" authorId="24" shapeId="0" xr:uid="{D2BBD96B-CECA-4C2B-8B53-58688A1339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Kyle, Tyler S, David G, Danny K. </t>
      </text>
    </comment>
    <comment ref="L22" authorId="25" shapeId="0" xr:uid="{0935C648-F949-423C-A87E-7808872C1483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 D., Lisa C., Levi N., Cory B.</t>
      </text>
    </comment>
    <comment ref="M22" authorId="26" shapeId="0" xr:uid="{8E8949FD-19D2-46D7-A73F-83A8AB549F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Suzanne, Lorene, Joe, Steve D., Huber
</t>
      </text>
    </comment>
    <comment ref="N22" authorId="27" shapeId="0" xr:uid="{9F94AA4C-F3F2-4738-AAAD-AEE5509A59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Tracey, Kyle, Morgan, Lorene, Stephanie, Connie, Bob
</t>
      </text>
    </comment>
    <comment ref="O22" authorId="28" shapeId="0" xr:uid="{1F489461-7D22-4472-9E1A-E644D5AF43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Trevor Sherman, Greg Stephens
</t>
      </text>
    </comment>
    <comment ref="B23" authorId="29" shapeId="0" xr:uid="{FE5A7296-97A8-4706-9F3D-75394FCC86CE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24" authorId="30" shapeId="0" xr:uid="{A18E06BA-D3A0-4D08-9688-3B303BEFB7EE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25" authorId="31" shapeId="0" xr:uid="{193462A9-EFE7-4BD4-863D-39103C7B4B6F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26" authorId="32" shapeId="0" xr:uid="{D2721DCC-984D-4469-B8F3-481901B69D55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  <comment ref="B27" authorId="33" shapeId="0" xr:uid="{611B92E3-8518-41DD-8E05-ADD4EF748886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  <comment ref="B28" authorId="34" shapeId="0" xr:uid="{AE37BBD8-5989-4124-A4CE-289A24A98D12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tc={7EED4D4E-A0D7-4776-A75B-59CE12B6C202}</author>
    <author>tc={1BAA7698-93B6-40AF-9FB6-01AA6B5FF049}</author>
    <author>tc={B3CE9B1C-1361-4F7C-95BE-34FE9A958AD0}</author>
    <author>tc={913F9E57-32C1-461D-A4E8-9BD8A04ECB36}</author>
    <author>tc={D5C9B13B-CE58-43FA-BA42-27E5FEDC78A2}</author>
    <author>tc={D805C96E-C871-4607-B921-E328A26B0D9E}</author>
    <author>tc={50CC9B47-8686-445C-A9C2-02AB9FFDF335}</author>
    <author>tc={B50798BA-9F04-4874-9F2D-13C2272C2AC7}</author>
    <author>tc={AC904B09-8922-47C4-8A60-0CAC395C09F2}</author>
    <author>tc={458148B2-E3B7-4B9A-8ADC-0C27AD13B23A}</author>
    <author>tc={D37D2B24-373B-4669-880A-18C5543297CF}</author>
    <author>tc={FA14D85A-0D87-4A9F-95C6-C4C8985C7F40}</author>
    <author>tc={F9A3E3CA-8D3F-4DC1-8E86-F25D168677C3}</author>
    <author>tc={2BCE5BC0-7BBD-4393-9516-E97A6AFAB300}</author>
  </authors>
  <commentList>
    <comment ref="C2" authorId="0" shapeId="0" xr:uid="{7EED4D4E-A0D7-4776-A75B-59CE12B6C202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Support Transition</t>
      </text>
    </comment>
    <comment ref="A3" authorId="1" shapeId="0" xr:uid="{1BAA7698-93B6-40AF-9FB6-01AA6B5FF049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General Report -&gt; Period 'Last Month' -&gt; Opened Ticket Value</t>
      </text>
    </comment>
    <comment ref="C3" authorId="2" shapeId="0" xr:uid="{B3CE9B1C-1361-4F7C-95BE-34FE9A958AD0}">
      <text>
        <t>[Threaded comment]
Your version of Excel allows you to read this threaded comment; however, any edits to it will get removed if the file is opened in a newer version of Excel. Learn more: https://go.microsoft.com/fwlink/?linkid=870924
Comment:
    RCC: 68
HR: 24
HQ: 19
RFS: 27
RRI: 23
RDC: 5
RCAP: 7
IT: 13
RPI: 10
STE: 2</t>
      </text>
    </comment>
    <comment ref="A4" authorId="3" shapeId="0" xr:uid="{913F9E57-32C1-461D-A4E8-9BD8A04ECB36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Technician Comparison -&gt; Time Period 'Last Month' -&gt; Technicians 'ALL' -&gt; Average First Response Value</t>
      </text>
    </comment>
    <comment ref="A5" authorId="4" shapeId="0" xr:uid="{D5C9B13B-CE58-43FA-BA42-27E5FEDC78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-&gt; Reports -&gt; Top Load Sites Report -&gt; Time Period Last Month and Item Count 20 -&gt; Avg. Ticket Duration value. </t>
      </text>
    </comment>
    <comment ref="A6" authorId="5" shapeId="0" xr:uid="{D805C96E-C871-4607-B921-E328A26B0D9E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Satisfied Users -&gt; Last Month -&gt; Item Count - max</t>
      </text>
    </comment>
    <comment ref="A7" authorId="6" shapeId="0" xr:uid="{50CC9B47-8686-445C-A9C2-02AB9FFDF335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Responded within SLA</t>
      </text>
    </comment>
    <comment ref="A8" authorId="7" shapeId="0" xr:uid="{B50798BA-9F04-4874-9F2D-13C2272C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Closed within SLA</t>
      </text>
    </comment>
    <comment ref="A12" authorId="8" shapeId="0" xr:uid="{AC904B09-8922-47C4-8A60-0CAC395C09F2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General Report -&gt; Period 'Last Month' -&gt; Opened Ticket Value</t>
      </text>
    </comment>
    <comment ref="A13" authorId="9" shapeId="0" xr:uid="{458148B2-E3B7-4B9A-8ADC-0C27AD13B23A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Technician Comparison -&gt; Time Period 'Last Month' -&gt; Technicians 'ALL' -&gt; Average First Response Value</t>
      </text>
    </comment>
    <comment ref="A14" authorId="10" shapeId="0" xr:uid="{D37D2B24-373B-4669-880A-18C5543297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-&gt; Reports -&gt; Top Load Sites Report -&gt; Time Period Last Month and Item Count 20 -&gt; Avg. Ticket Duration value. </t>
      </text>
    </comment>
    <comment ref="A15" authorId="11" shapeId="0" xr:uid="{FA14D85A-0D87-4A9F-95C6-C4C8985C7F4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Satisfied Users -&gt; Last Month -&gt; Item Count - max</t>
      </text>
    </comment>
    <comment ref="A16" authorId="12" shapeId="0" xr:uid="{F9A3E3CA-8D3F-4DC1-8E86-F25D168677C3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Responded within SLA</t>
      </text>
    </comment>
    <comment ref="A17" authorId="13" shapeId="0" xr:uid="{2BCE5BC0-7BBD-4393-9516-E97A6AFAB3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Closed within SLA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tc={04FC3357-7DA7-4C96-BE6A-14BC4D297BA1}</author>
    <author>tc={395B4B05-4F52-42CF-A1D8-C2B53947085C}</author>
    <author>tc={073971C6-14FF-4A00-9833-3ECDCB03A2BE}</author>
  </authors>
  <commentList>
    <comment ref="B4" authorId="0" shapeId="0" xr:uid="{04FC3357-7DA7-4C96-BE6A-14BC4D29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Unplanned Change Tickets</t>
      </text>
    </comment>
    <comment ref="B17" authorId="1" shapeId="0" xr:uid="{395B4B05-4F52-42CF-A1D8-C2B53947085C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Weekly DT EOS Operational Report sent each Sunday at 12:00AM</t>
      </text>
    </comment>
    <comment ref="B18" authorId="2" shapeId="0" xr:uid="{073971C6-14FF-4A00-9833-3ECDCB03A2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Patch Status Summary - All sites except unassigned and decommissioned. Patch Class Critical Updates, Exclude retired devices and hide excluded patches.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tc={E1E99758-41E7-4F08-94A9-03DD1E28EE20}</author>
    <author>tc={7A5D3384-C524-4510-AB81-6D387CFC551E}</author>
    <author>tc={B9C34C57-6346-4B38-ADDF-16BF8BD2075F}</author>
    <author>tc={9E777A94-9550-455B-8018-9781A2AFE824}</author>
    <author>tc={3B3A0704-4A4C-4F1F-9021-6DA35DB013B3}</author>
    <author>tc={862D0022-86F1-4CA4-8E41-D5CDCFAA20DE}</author>
    <author>tc={67238653-AA4C-4462-9514-1659354897A4}</author>
    <author>tc={A27A5242-0EF3-4D80-B496-5146E78B79BC}</author>
    <author>tc={FD28B038-43EB-4879-9176-866323C9D7F4}</author>
    <author>tc={B59925C4-899F-483A-8B3F-53F030BC5C53}</author>
    <author>tc={2E161BEF-AA15-4F93-AF35-4FD0A9F7E5D0}</author>
    <author>tc={C61DCEEA-4F58-467B-BE26-0A38E037CD86}</author>
    <author>tc={E08E1DEE-9095-4AFF-B903-3727DDDDFA7A}</author>
    <author>tc={65B524F5-8801-4102-A4EB-AA246162AF4E}</author>
    <author>tc={D84843AD-20A9-405C-A515-457F0F95905C}</author>
    <author>tc={C523636D-5E56-4DE3-98AD-BAE79F4CAF04}</author>
    <author>tc={EA00784B-E685-4457-A421-D3BAA2B0D903}</author>
    <author>tc={C8FBADB6-9523-4A95-BB6F-657CF7B3389F}</author>
  </authors>
  <commentList>
    <comment ref="B5" authorId="0" shapeId="0" xr:uid="{E1E99758-41E7-4F08-94A9-03DD1E28EE2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General Report -&gt; Period 'Last Month' -&gt; Opened Ticket Value</t>
      </text>
    </comment>
    <comment ref="B6" authorId="1" shapeId="0" xr:uid="{7A5D3384-C524-4510-AB81-6D387CFC551E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Technician Comparison -&gt; Time Period 'Last Month' -&gt; Technicians 'ALL' -&gt; Average First Response Value</t>
      </text>
    </comment>
    <comment ref="B7" authorId="2" shapeId="0" xr:uid="{B9C34C57-6346-4B38-ADDF-16BF8BD207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-&gt; Reports -&gt; Top Load Sites Report -&gt; Time Period Last Month and Item Count 20 -&gt; Avg. Ticket Duration value. </t>
      </text>
    </comment>
    <comment ref="B8" authorId="3" shapeId="0" xr:uid="{9E777A94-9550-455B-8018-9781A2AFE824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Satisfied Users -&gt; Last Month -&gt; Item Count - max</t>
      </text>
    </comment>
    <comment ref="B9" authorId="4" shapeId="0" xr:uid="{3B3A0704-4A4C-4F1F-9021-6DA35DB013B3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Responded within SLA</t>
      </text>
    </comment>
    <comment ref="B10" authorId="5" shapeId="0" xr:uid="{862D0022-86F1-4CA4-8E41-D5CDCFAA20DE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Closed within SLA</t>
      </text>
    </comment>
    <comment ref="B12" authorId="6" shapeId="0" xr:uid="{67238653-AA4C-4462-9514-1659354897A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Datto -&gt; Console -&gt; Reports -&gt; Backup Reports -&gt; Past Month</t>
      </text>
    </comment>
    <comment ref="B13" authorId="7" shapeId="0" xr:uid="{A27A5242-0EF3-4D80-B496-5146E78B79BC}">
      <text>
        <t>[Threaded comment]
Your version of Excel allows you to read this threaded comment; however, any edits to it will get removed if the file is opened in a newer version of Excel. Learn more: https://go.microsoft.com/fwlink/?linkid=870924
Comment:
    Datto -&gt; SaaS Protection -&gt; Admin -&gt; Reporting -&gt; Last Month</t>
      </text>
    </comment>
    <comment ref="B14" authorId="8" shapeId="0" xr:uid="{FD28B038-43EB-4879-9176-866323C9D7F4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Patch Status Summary -&gt; Site Names 'All except Unassigned, Decomissioned', Patch Class 'Critical', Exclude Retired</t>
      </text>
    </comment>
    <comment ref="B15" authorId="9" shapeId="0" xr:uid="{B59925C4-899F-483A-8B3F-53F030BC5C53}">
      <text>
        <t>[Threaded comment]
Your version of Excel allows you to read this threaded comment; however, any edits to it will get removed if the file is opened in a newer version of Excel. Learn more: https://go.microsoft.com/fwlink/?linkid=870924
Comment:
    KnowBe4 -&gt; Training -&gt; Recent Quarterly Campaign -&gt; Completion %</t>
      </text>
    </comment>
    <comment ref="B16" authorId="10" shapeId="0" xr:uid="{2E161BEF-AA15-4F93-AF35-4FD0A9F7E5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KnowBe4 -&gt; Phishing -&gt; Campaigns -&gt; Last Month -&gt; Phish-Prone % value
</t>
      </text>
    </comment>
    <comment ref="B17" authorId="11" shapeId="0" xr:uid="{C61DCEEA-4F58-467B-BE26-0A38E037CD86}">
      <text>
        <t>[Threaded comment]
Your version of Excel allows you to read this threaded comment; however, any edits to it will get removed if the file is opened in a newer version of Excel. Learn more: https://go.microsoft.com/fwlink/?linkid=870924
Comment:
    KnowBe4 -&gt; Phishing -&gt; Campaigns -&gt; Last Months -&gt; Users -&gt; Failures</t>
      </text>
    </comment>
    <comment ref="B18" authorId="12" shapeId="0" xr:uid="{E08E1DEE-9095-4AFF-B903-3727DDDDFA7A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19" authorId="13" shapeId="0" xr:uid="{65B524F5-8801-4102-A4EB-AA246162AF4E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20" authorId="14" shapeId="0" xr:uid="{D84843AD-20A9-405C-A515-457F0F95905C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21" authorId="15" shapeId="0" xr:uid="{C523636D-5E56-4DE3-98AD-BAE79F4CAF04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  <comment ref="B22" authorId="16" shapeId="0" xr:uid="{EA00784B-E685-4457-A421-D3BAA2B0D903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  <comment ref="B23" authorId="17" shapeId="0" xr:uid="{C8FBADB6-9523-4A95-BB6F-657CF7B3389F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tc={B02B874C-2935-42BE-92C7-907BC94971A8}</author>
    <author>tc={23E104C5-FE32-4497-83E0-0831FEE38544}</author>
    <author>tc={CD725699-3F2E-4A36-8C67-5467785E102E}</author>
    <author>tc={7D035C83-486D-45FC-AB23-E6EF78D9E56D}</author>
    <author>tc={9F2F0040-AC6E-47A7-BC6C-873C224D8262}</author>
    <author>tc={76D9BBCD-93AC-4624-8F70-A91284C7B761}</author>
    <author>tc={5328F1C1-2DE9-4BA1-BABB-A54195861979}</author>
  </authors>
  <commentList>
    <comment ref="B8" authorId="0" shapeId="0" xr:uid="{B02B874C-2935-42BE-92C7-907BC94971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Reports -&gt; Service Level Agreement(SLA) report -&gt; Last 7 days</t>
      </text>
    </comment>
    <comment ref="B9" authorId="1" shapeId="0" xr:uid="{23E104C5-FE32-4497-83E0-0831FEE385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Reports -&gt; Service Level Agreement(SLA) report -&gt; Last 7 days</t>
      </text>
    </comment>
    <comment ref="B14" authorId="2" shapeId="0" xr:uid="{CD725699-3F2E-4A36-8C67-5467785E10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-&gt; Timesheet Report -&gt; Last 7 days</t>
      </text>
    </comment>
    <comment ref="D19" authorId="3" shapeId="0" xr:uid="{7D035C83-486D-45FC-AB23-E6EF78D9E56D}">
      <text>
        <t>[Threaded comment]
Your version of Excel allows you to read this threaded comment; however, any edits to it will get removed if the file is opened in a newer version of Excel. Learn more: https://go.microsoft.com/fwlink/?linkid=870924
Comment:
    False Positive</t>
      </text>
    </comment>
    <comment ref="E19" authorId="4" shapeId="0" xr:uid="{9F2F0040-AC6E-47A7-BC6C-873C224D8262}">
      <text>
        <t>[Threaded comment]
Your version of Excel allows you to read this threaded comment; however, any edits to it will get removed if the file is opened in a newer version of Excel. Learn more: https://go.microsoft.com/fwlink/?linkid=870924
Comment:
    False Positive</t>
      </text>
    </comment>
    <comment ref="G19" authorId="5" shapeId="0" xr:uid="{76D9BBCD-93AC-4624-8F70-A91284C7B761}">
      <text>
        <t>[Threaded comment]
Your version of Excel allows you to read this threaded comment; however, any edits to it will get removed if the file is opened in a newer version of Excel. Learn more: https://go.microsoft.com/fwlink/?linkid=870924
Comment:
    False Positive</t>
      </text>
    </comment>
    <comment ref="H21" authorId="6" shapeId="0" xr:uid="{5328F1C1-2DE9-4BA1-BABB-A54195861979}">
      <text>
        <t>[Threaded comment]
Your version of Excel allows you to read this threaded comment; however, any edits to it will get removed if the file is opened in a newer version of Excel. Learn more: https://go.microsoft.com/fwlink/?linkid=870924
Comment:
    Lisa Cuenca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tc={CA9A3840-17A2-49F6-B66A-A59D207FC134}</author>
    <author>tc={3108451D-4A39-4455-8A94-EC674317C0EB}</author>
    <author>tc={9076EBB0-73C5-4F93-A685-F67AB8F15FEE}</author>
    <author>tc={524406D2-9A8F-415B-9783-1083315D0592}</author>
    <author>tc={8D68F4F7-EA93-4B17-B8C2-A9290463BB0E}</author>
    <author>tc={A33D4B08-4FAD-45E0-83BD-1233A11B808F}</author>
    <author>tc={C7848CA3-E3F5-415F-9897-7C1F0250F03C}</author>
    <author>tc={9E0A9213-4C96-457F-8CAF-779CBE23ECE9}</author>
    <author>tc={C9223067-E71B-4598-B639-4C79F90F2829}</author>
    <author>tc={EDDC1D68-EF39-4DCA-9E69-8617C3F9C8F8}</author>
    <author>tc={3113792D-FAD5-429C-B6FA-4FF27C729B2B}</author>
    <author>tc={23EC1CC1-6CDA-4FFB-987F-1DE1C6C3D714}</author>
    <author>tc={F00493C3-E881-43A4-A92A-9B6416C1E47A}</author>
    <author>tc={B880E973-272D-4C16-97B2-AA18B60089E2}</author>
  </authors>
  <commentList>
    <comment ref="J5" authorId="0" shapeId="0" xr:uid="{CA9A3840-17A2-49F6-B66A-A59D207FC13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spike is due to Admin by Request which accounted for 47 tickets</t>
      </text>
    </comment>
    <comment ref="K5" authorId="1" shapeId="0" xr:uid="{3108451D-4A39-4455-8A94-EC674317C0EB}">
      <text>
        <t>[Threaded comment]
Your version of Excel allows you to read this threaded comment; however, any edits to it will get removed if the file is opened in a newer version of Excel. Learn more: https://go.microsoft.com/fwlink/?linkid=870924
Comment:
    Spike in tickets from Drive Storage Limit and Admin by Request</t>
      </text>
    </comment>
    <comment ref="J6" authorId="2" shapeId="0" xr:uid="{9076EBB0-73C5-4F93-A685-F67AB8F15F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spike is due to Admin by Request</t>
      </text>
    </comment>
    <comment ref="G16" authorId="3" shapeId="0" xr:uid="{524406D2-9A8F-415B-9783-1083315D0592}">
      <text>
        <t>[Threaded comment]
Your version of Excel allows you to read this threaded comment; however, any edits to it will get removed if the file is opened in a newer version of Excel. Learn more: https://go.microsoft.com/fwlink/?linkid=870924
Comment:
    Potential False Positive - May be Dark Trace</t>
      </text>
    </comment>
    <comment ref="B17" authorId="4" shapeId="0" xr:uid="{8D68F4F7-EA93-4B17-B8C2-A9290463BB0E}">
      <text>
        <t>[Threaded comment]
Your version of Excel allows you to read this threaded comment; however, any edits to it will get removed if the file is opened in a newer version of Excel. Learn more: https://go.microsoft.com/fwlink/?linkid=870924
Comment:
    Alena McClain, Diego Fox, Levi Nelson, Juli Matsumoto, Chris D., Barbara Moilien, TJ Colvin, Mitch</t>
      </text>
    </comment>
    <comment ref="C17" authorId="5" shapeId="0" xr:uid="{A33D4B08-4FAD-45E0-83BD-1233A11B808F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Dearth, Greg Stephens, Sue Binnie, Suzanne Broaten, Jim Boone</t>
      </text>
    </comment>
    <comment ref="D17" authorId="6" shapeId="0" xr:uid="{C7848CA3-E3F5-415F-9897-7C1F0250F03C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Danard, Erik Peterson</t>
      </text>
    </comment>
    <comment ref="E17" authorId="7" shapeId="0" xr:uid="{9E0A9213-4C96-457F-8CAF-779CBE23ECE9}">
      <text>
        <t>[Threaded comment]
Your version of Excel allows you to read this threaded comment; however, any edits to it will get removed if the file is opened in a newer version of Excel. Learn more: https://go.microsoft.com/fwlink/?linkid=870924
Comment:
    Kurt W., Sean Edwards</t>
      </text>
    </comment>
    <comment ref="F17" authorId="8" shapeId="0" xr:uid="{C9223067-E71B-4598-B639-4C79F90F2829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 C., Renee, Barbara Moilien, David Gleza, Donna Novander</t>
      </text>
    </comment>
    <comment ref="H17" authorId="9" shapeId="0" xr:uid="{EDDC1D68-EF39-4DCA-9E69-8617C3F9C8F8}">
      <text>
        <t>[Threaded comment]
Your version of Excel allows you to read this threaded comment; however, any edits to it will get removed if the file is opened in a newer version of Excel. Learn more: https://go.microsoft.com/fwlink/?linkid=870924
Comment:
    Todd Vasko, Steve Danard, Teresas Daniels, Barbara Moilien</t>
      </text>
    </comment>
    <comment ref="I17" authorId="10" shapeId="0" xr:uid="{3113792D-FAD5-429C-B6FA-4FF27C729B2B}">
      <text>
        <t>[Threaded comment]
Your version of Excel allows you to read this threaded comment; however, any edits to it will get removed if the file is opened in a newer version of Excel. Learn more: https://go.microsoft.com/fwlink/?linkid=870924
Comment:
Reply:
    Chris D. , Jacob Bullon, Mitch Hawver, Greg Stephens, Chris B. (Testing page)</t>
      </text>
    </comment>
    <comment ref="J17" authorId="11" shapeId="0" xr:uid="{23EC1CC1-6CDA-4FFB-987F-1DE1C6C3D714}">
      <text>
        <t>[Threaded comment]
Your version of Excel allows you to read this threaded comment; however, any edits to it will get removed if the file is opened in a newer version of Excel. Learn more: https://go.microsoft.com/fwlink/?linkid=870924
Comment:
    Barbara Olsen</t>
      </text>
    </comment>
    <comment ref="K17" authorId="12" shapeId="0" xr:uid="{F00493C3-E881-43A4-A92A-9B6416C1E47A}">
      <text>
        <t>[Threaded comment]
Your version of Excel allows you to read this threaded comment; however, any edits to it will get removed if the file is opened in a newer version of Excel. Learn more: https://go.microsoft.com/fwlink/?linkid=870924
Comment:
    Ted, Steve Danard, Danny</t>
      </text>
    </comment>
    <comment ref="L17" authorId="13" shapeId="0" xr:uid="{B880E973-272D-4C16-97B2-AA18B60089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Failures: Chris DeWald, Melina Mwangi, and Levi Nelson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tc={6FE972EB-695F-433B-8CA9-7B48616953C4}</author>
    <author>tc={9B0F4F18-1113-4801-98C3-F6F2357C9236}</author>
    <author>tc={1811FB23-8F81-40D8-A6DB-BD3E3CC35473}</author>
    <author>tc={A0763CF4-50FF-41D7-B5E5-5D191BF8D6F6}</author>
    <author>tc={4ED15884-8C43-4632-8ECC-F544F38D7B30}</author>
    <author>tc={0FDA4107-A972-409D-96C9-4AFAA2E79816}</author>
    <author>tc={F885D432-D47A-4D3D-852B-AE3EA7CE4219}</author>
    <author>tc={D3020564-06C4-48A7-A6DE-24568C2B3E37}</author>
    <author>tc={3F02CADF-DC45-49DF-8A9C-DDD3C866D853}</author>
    <author>tc={D32CBB5A-93AD-4165-BDA9-CAA0ED195BEC}</author>
    <author>tc={08B2F5AA-0BD4-4BD0-8268-2220C60AC48D}</author>
    <author>tc={97CD637E-1256-44DE-9714-79443B1984B8}</author>
    <author>tc={80E65923-C271-44F2-A5D9-D6E8B675B69B}</author>
  </authors>
  <commentList>
    <comment ref="B6" authorId="0" shapeId="0" xr:uid="{6FE972EB-695F-433B-8CA9-7B48616953C4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General Report -&gt; Period 'Last Month' -&gt; Opened Ticket Value</t>
      </text>
    </comment>
    <comment ref="B7" authorId="1" shapeId="0" xr:uid="{9B0F4F18-1113-4801-98C3-F6F2357C9236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Technician Comparison -&gt; Time Period 'Last Month' -&gt; Technicians 'ALL' -&gt; Average First Response Value</t>
      </text>
    </comment>
    <comment ref="B8" authorId="2" shapeId="0" xr:uid="{1811FB23-8F81-40D8-A6DB-BD3E3CC354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-&gt; Reports -&gt; Top Load Sites Report -&gt; Time Period Last Month and Item Count 20 -&gt; Avg. Ticket Duration value. </t>
      </text>
    </comment>
    <comment ref="B9" authorId="3" shapeId="0" xr:uid="{A0763CF4-50FF-41D7-B5E5-5D191BF8D6F6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Satisfied Users -&gt; Last Month -&gt; Item Count - max</t>
      </text>
    </comment>
    <comment ref="B10" authorId="4" shapeId="0" xr:uid="{4ED15884-8C43-4632-8ECC-F544F38D7B3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Responded within SLA</t>
      </text>
    </comment>
    <comment ref="B11" authorId="5" shapeId="0" xr:uid="{0FDA4107-A972-409D-96C9-4AFAA2E79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Closed within SLA</t>
      </text>
    </comment>
    <comment ref="B13" authorId="6" shapeId="0" xr:uid="{F885D432-D47A-4D3D-852B-AE3EA7CE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Datto -&gt; Console -&gt; Reports -&gt; Backup Reports -&gt; Past Month</t>
      </text>
    </comment>
    <comment ref="B14" authorId="7" shapeId="0" xr:uid="{D3020564-06C4-48A7-A6DE-24568C2B3E3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Datto -&gt; SaaS Protection -&gt; Admin -&gt; Reporting -&gt; Last Month</t>
      </text>
    </comment>
    <comment ref="B15" authorId="8" shapeId="0" xr:uid="{3F02CADF-DC45-49DF-8A9C-DDD3C866D853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Patch Status Summary -&gt; Site Names 'All except Unassigned, Decomissioned', Patch Class 'Critical', Exclude Retired</t>
      </text>
    </comment>
    <comment ref="B16" authorId="9" shapeId="0" xr:uid="{D32CBB5A-93AD-4165-BDA9-CAA0ED195BEC}">
      <text>
        <t>[Threaded comment]
Your version of Excel allows you to read this threaded comment; however, any edits to it will get removed if the file is opened in a newer version of Excel. Learn more: https://go.microsoft.com/fwlink/?linkid=870924
Comment:
    KnowBe4 -&gt; Training -&gt; Recent Quarterly Campaign -&gt; Completion %</t>
      </text>
    </comment>
    <comment ref="B17" authorId="10" shapeId="0" xr:uid="{08B2F5AA-0BD4-4BD0-8268-2220C60AC48D}">
      <text>
        <t>[Threaded comment]
Your version of Excel allows you to read this threaded comment; however, any edits to it will get removed if the file is opened in a newer version of Excel. Learn more: https://go.microsoft.com/fwlink/?linkid=870924
Comment:
    KnowBe4 -&gt; Phishing -&gt; Campaigns -&gt; Last Months -&gt; Users -&gt; Failures</t>
      </text>
    </comment>
    <comment ref="B18" authorId="11" shapeId="0" xr:uid="{97CD637E-1256-44DE-9714-79443B1984B8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19" authorId="12" shapeId="0" xr:uid="{80E65923-C271-44F2-A5D9-D6E8B675B69B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</commentList>
</comments>
</file>

<file path=xl/sharedStrings.xml><?xml version="1.0" encoding="utf-8"?>
<sst xmlns="http://schemas.openxmlformats.org/spreadsheetml/2006/main" count="695" uniqueCount="392">
  <si>
    <t>IT ScoreCard Report - 2025</t>
  </si>
  <si>
    <t>Category</t>
  </si>
  <si>
    <t>Metric</t>
  </si>
  <si>
    <t>Description</t>
  </si>
  <si>
    <t>Panic #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</si>
  <si>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</si>
  <si>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</si>
  <si>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</si>
  <si>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</si>
  <si>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</si>
  <si>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</si>
  <si>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</si>
  <si>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</si>
  <si>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</si>
  <si>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</si>
  <si>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</si>
  <si>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</si>
  <si>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Averages</t>
  </si>
  <si>
    <t>Operational Stability</t>
  </si>
  <si>
    <t>Unplanned Business Disruptions</t>
  </si>
  <si>
    <t>Unplanned Incidents</t>
  </si>
  <si>
    <t>P: More than 2</t>
  </si>
  <si>
    <t>Average Time to Restore Service</t>
  </si>
  <si>
    <t>Average Time to solve unplanned incidents</t>
  </si>
  <si>
    <t>P: More than 8 hours</t>
  </si>
  <si>
    <t>Critical System Uptime</t>
  </si>
  <si>
    <t>Total duration tickets where Impact is (Crisis, Major, Site Down, or Sever Issue) subtracting 240 work hours</t>
  </si>
  <si>
    <t>P: Less than 95%</t>
  </si>
  <si>
    <t>Repeat System Issues</t>
  </si>
  <si>
    <t>Change tickets where system is the same on more than 1 ticket per system</t>
  </si>
  <si>
    <t>P: More than 1</t>
  </si>
  <si>
    <t>Service Effectiveness (Team Support)</t>
  </si>
  <si>
    <t>Support Requets per Team Member</t>
  </si>
  <si>
    <t>User Tickets divided by Users</t>
  </si>
  <si>
    <t>Average Team Member Issue Resolution Time</t>
  </si>
  <si>
    <t>Average Team Member Ticket Duration</t>
  </si>
  <si>
    <t>P: More than 24 Hours</t>
  </si>
  <si>
    <t>Issues Resolved On Time</t>
  </si>
  <si>
    <t>User issues resolved within 2 business days (16 work hours)</t>
  </si>
  <si>
    <t>P: Less than 85%</t>
  </si>
  <si>
    <t>User Satisfaction Score</t>
  </si>
  <si>
    <t>Ticket Rating, up to 5 points per survey, average score is used of all surveys in time period</t>
  </si>
  <si>
    <t>Total Team Member Tickets</t>
  </si>
  <si>
    <t>Tickets generated by a team member</t>
  </si>
  <si>
    <t xml:space="preserve">P: More than 100 </t>
  </si>
  <si>
    <t>System Changes &amp; Reliability</t>
  </si>
  <si>
    <t>Successful System Changes</t>
  </si>
  <si>
    <t>Changes where no subsequent incidents occurred</t>
  </si>
  <si>
    <t>P: Less than 90%</t>
  </si>
  <si>
    <t>Emergency System Changes</t>
  </si>
  <si>
    <t>Emergency Change Tickets</t>
  </si>
  <si>
    <t>P: More  than 2</t>
  </si>
  <si>
    <t>Changes Causing Disruption</t>
  </si>
  <si>
    <t>Changes where incident did occur 'Server Down, Site Down, or Critical'</t>
  </si>
  <si>
    <t>High-Impact System Changes</t>
  </si>
  <si>
    <t>Changes where potential impact was 'Server Down, Site Down, or Critical'</t>
  </si>
  <si>
    <t>Security &amp; Risk</t>
  </si>
  <si>
    <t>Critical Security Events</t>
  </si>
  <si>
    <t>Darktrace EOS Report Critical Incidents requring investigation</t>
  </si>
  <si>
    <t>P: Greater than 3</t>
  </si>
  <si>
    <t>Critical Systems Fully Patched</t>
  </si>
  <si>
    <t>Critical Windows Patches</t>
  </si>
  <si>
    <t>Employees Falling for Phishing</t>
  </si>
  <si>
    <t>KnowBe4 - Phishing Campaign Report - Failed Users (Clicked or Responded to simulated phishing email)</t>
  </si>
  <si>
    <t>P: More than 5%</t>
  </si>
  <si>
    <t>Backups (Server/Datto) Success Rate</t>
  </si>
  <si>
    <t xml:space="preserve">Percentage of completed backups </t>
  </si>
  <si>
    <t>Baseline numbers</t>
  </si>
  <si>
    <t>Highlights</t>
  </si>
  <si>
    <t>Failed Simulated Phishing Tests Team Members</t>
  </si>
  <si>
    <t>SAT Training - Team Members who have not completed training</t>
  </si>
  <si>
    <t>Team Member</t>
  </si>
  <si>
    <t># of Failures this year</t>
  </si>
  <si>
    <t>Q1</t>
  </si>
  <si>
    <t>Q2</t>
  </si>
  <si>
    <t>Q3</t>
  </si>
  <si>
    <t>Q4</t>
  </si>
  <si>
    <t>IT ScoreCard Report - 2024</t>
  </si>
  <si>
    <t>Goal/AVG</t>
  </si>
  <si>
    <t>Audian HelpDesk Tickets</t>
  </si>
  <si>
    <t># Rush Team with Audian Tickets</t>
  </si>
  <si>
    <t>Audian Alert Tickets</t>
  </si>
  <si>
    <t>Audian Average Ticket Response Time</t>
  </si>
  <si>
    <t>Tickets</t>
  </si>
  <si>
    <t xml:space="preserve">Rush Tickets </t>
  </si>
  <si>
    <t>235 AVG</t>
  </si>
  <si>
    <t>Rush Ticket AVG First Response Time</t>
  </si>
  <si>
    <t>2 Hours</t>
  </si>
  <si>
    <t>180 Minutes</t>
  </si>
  <si>
    <t>5 Hours, 51 Minutes</t>
  </si>
  <si>
    <t>3 Hours, 13 Minutes</t>
  </si>
  <si>
    <t>8 hours, 35 Minutes</t>
  </si>
  <si>
    <t>3 Hours 6 Minutes</t>
  </si>
  <si>
    <t>7 hours 38 minutes</t>
  </si>
  <si>
    <t>12 Hours, 16 Minutes</t>
  </si>
  <si>
    <t>8 Hours, 3 Min</t>
  </si>
  <si>
    <t>4 hours, 3 min</t>
  </si>
  <si>
    <t>3 hours, 37 Min</t>
  </si>
  <si>
    <t>7 Hours and 31 Min</t>
  </si>
  <si>
    <t>Rush Average Resolution Time (AVG Duration)</t>
  </si>
  <si>
    <t>&lt; 30 Min</t>
  </si>
  <si>
    <t>Unk.</t>
  </si>
  <si>
    <t>118 Min</t>
  </si>
  <si>
    <t>43 Min</t>
  </si>
  <si>
    <t>56 Min</t>
  </si>
  <si>
    <t>62 Minutes</t>
  </si>
  <si>
    <t>40 Minutes</t>
  </si>
  <si>
    <t>20 Minutes</t>
  </si>
  <si>
    <t>25 Minutes</t>
  </si>
  <si>
    <t>24 Minutes</t>
  </si>
  <si>
    <t>33 Minutes</t>
  </si>
  <si>
    <t>37 Minutes</t>
  </si>
  <si>
    <t xml:space="preserve">User Satisfaction Ratings (Out of 5) </t>
  </si>
  <si>
    <t>4.5 AVG</t>
  </si>
  <si>
    <t>First Response within SLA (2 Hours)</t>
  </si>
  <si>
    <t>Closed within SLA (2 days)</t>
  </si>
  <si>
    <t>Backup</t>
  </si>
  <si>
    <t>Server Backup Success Rate</t>
  </si>
  <si>
    <t>Microsoft 365 Backup (3x Daily)</t>
  </si>
  <si>
    <t>Security</t>
  </si>
  <si>
    <t>Security Patch Compliance</t>
  </si>
  <si>
    <t>Outdated Operating System</t>
  </si>
  <si>
    <t>End of Life Servers (5+ yrs)</t>
  </si>
  <si>
    <t>Security Awareness Training Quarterly</t>
  </si>
  <si>
    <t>Phish-Prone % (Clicks)</t>
  </si>
  <si>
    <t>&lt; 3%</t>
  </si>
  <si>
    <t>Failed Simulated Phishing Tests</t>
  </si>
  <si>
    <t>&lt; 3</t>
  </si>
  <si>
    <t>Darktrace Security Models Breached</t>
  </si>
  <si>
    <t>150 AVG</t>
  </si>
  <si>
    <t>DarkTrace Security Incidents</t>
  </si>
  <si>
    <t>10 AVG</t>
  </si>
  <si>
    <t>DarkTrace Critical Incidents</t>
  </si>
  <si>
    <t>&lt; 1</t>
  </si>
  <si>
    <t>Email</t>
  </si>
  <si>
    <t>DarkTrace Email Held Messages</t>
  </si>
  <si>
    <t>9k AVG</t>
  </si>
  <si>
    <t>DarkTrace Email Actions (Lock/Block/Convert)</t>
  </si>
  <si>
    <t>12k AVG</t>
  </si>
  <si>
    <t>Total Emails Received</t>
  </si>
  <si>
    <t>85k AVG</t>
  </si>
  <si>
    <t>SAT Failures</t>
  </si>
  <si>
    <t>QTY</t>
  </si>
  <si>
    <t>Alena</t>
  </si>
  <si>
    <t>Alex Willing</t>
  </si>
  <si>
    <t>Bob</t>
  </si>
  <si>
    <t>Chris DeWald</t>
  </si>
  <si>
    <t>Connie</t>
  </si>
  <si>
    <t>Cory Balch</t>
  </si>
  <si>
    <t>Cory Ferencik</t>
  </si>
  <si>
    <t>Danny Kruse</t>
  </si>
  <si>
    <t>David  Gleza</t>
  </si>
  <si>
    <t>Dawn Jones</t>
  </si>
  <si>
    <t>Emily Franklin</t>
  </si>
  <si>
    <t>Evan Peterson</t>
  </si>
  <si>
    <t>Greg Stevens</t>
  </si>
  <si>
    <t>Huber King</t>
  </si>
  <si>
    <t>Javier</t>
  </si>
  <si>
    <t>Jeff Swanson</t>
  </si>
  <si>
    <t>Jim Boone</t>
  </si>
  <si>
    <t>Joe</t>
  </si>
  <si>
    <t>Juli Matsumoto</t>
  </si>
  <si>
    <t>Kurt</t>
  </si>
  <si>
    <t>Kyle</t>
  </si>
  <si>
    <t>Laura</t>
  </si>
  <si>
    <t>Lee Kilcup</t>
  </si>
  <si>
    <t>Levi Nelson</t>
  </si>
  <si>
    <t>Lisa Cuenca</t>
  </si>
  <si>
    <t>Lorene</t>
  </si>
  <si>
    <t>Melina Mwangi</t>
  </si>
  <si>
    <t>Morgan</t>
  </si>
  <si>
    <t>Nathan Sarver</t>
  </si>
  <si>
    <t>Quinn</t>
  </si>
  <si>
    <t>Ray W.</t>
  </si>
  <si>
    <t>Rick Bisol</t>
  </si>
  <si>
    <t>Scott Walker</t>
  </si>
  <si>
    <t>Stephanie</t>
  </si>
  <si>
    <t>Steve Danard</t>
  </si>
  <si>
    <t>Suzanne</t>
  </si>
  <si>
    <t>Tracey</t>
  </si>
  <si>
    <t>Travis Riebe</t>
  </si>
  <si>
    <t>Trevor Sherman</t>
  </si>
  <si>
    <t>Tyler Strauher</t>
  </si>
  <si>
    <t>2 Hours, 49 Minutes</t>
  </si>
  <si>
    <t>2 Hours, 43 Minutes</t>
  </si>
  <si>
    <t>4 hours, 39 minutes</t>
  </si>
  <si>
    <t>7 Hours</t>
  </si>
  <si>
    <t>8 Hours</t>
  </si>
  <si>
    <t>96.56 Hours</t>
  </si>
  <si>
    <t>33.42 Hours</t>
  </si>
  <si>
    <t>48.58 Hours</t>
  </si>
  <si>
    <t>43.19 Hours</t>
  </si>
  <si>
    <t>32.87 Hours</t>
  </si>
  <si>
    <t>User Satisfaction Ratings</t>
  </si>
  <si>
    <t>Billable Ticket Hours</t>
  </si>
  <si>
    <t>Unplanned Incidents causing disruption to 1 or more business services or applications</t>
  </si>
  <si>
    <t>Support Load - User Tickets divided by Users</t>
  </si>
  <si>
    <t>Average Team Member Ticket Duration - AVG time team member ticket was open (8 hours = 1 day)</t>
  </si>
  <si>
    <t>P: More than 50</t>
  </si>
  <si>
    <t>Baseline being established Q1 2026</t>
  </si>
  <si>
    <t>Rush Tickets</t>
  </si>
  <si>
    <t>&lt; 2 Hours</t>
  </si>
  <si>
    <t>3 Hours, 29 Minutes</t>
  </si>
  <si>
    <t>4 Hours, 35 Minutes</t>
  </si>
  <si>
    <t>1 Hour, 40 Minutes</t>
  </si>
  <si>
    <t>2 Hours, 44 Minutes</t>
  </si>
  <si>
    <t>4 hours, 35 Minutes</t>
  </si>
  <si>
    <t>2 hours and 36 minutes</t>
  </si>
  <si>
    <t>5 Hours and 30 Minutes</t>
  </si>
  <si>
    <t>4 Hours and 11 Minutes</t>
  </si>
  <si>
    <t>Rush Average Resolution Time (AVG Duration) Divide by 8 for # of Days</t>
  </si>
  <si>
    <t>&lt; 16 Hours (2 days)</t>
  </si>
  <si>
    <t>44.49 Hours</t>
  </si>
  <si>
    <t>3.44 Days</t>
  </si>
  <si>
    <t>&gt; 80 Hours</t>
  </si>
  <si>
    <t>Security Patch Compliance Critical Updates</t>
  </si>
  <si>
    <t>Started 3/4 - Due 4/1 - 95% completed</t>
  </si>
  <si>
    <t>Started 6/2 - Due 7/14 |97%</t>
  </si>
  <si>
    <t>Started 9/1/2025 | Due 10/3 | 94% Complete</t>
  </si>
  <si>
    <t>Started 12/1 - 75% completed as of 1/8/2026</t>
  </si>
  <si>
    <t>DarkTrace Security Models Breached</t>
  </si>
  <si>
    <t>First Penetration Test</t>
  </si>
  <si>
    <t>RCC - Job Site Documentation</t>
  </si>
  <si>
    <t>DarkTrace EndPoint Rollout</t>
  </si>
  <si>
    <t>New Job Setup Power App</t>
  </si>
  <si>
    <t>SQL Server Migration</t>
  </si>
  <si>
    <t>Sage Upgrade</t>
  </si>
  <si>
    <t>Sage 300 CRE – Migrated to new Windows 2025 Server</t>
  </si>
  <si>
    <t>TimberScan Upgrade</t>
  </si>
  <si>
    <t>We implemented new ticket categorization to make tracking and reporting on tickets much easier in the future based on the work we are performing.</t>
  </si>
  <si>
    <t>RFS - Implemented Entity Keeper</t>
  </si>
  <si>
    <r>
      <t>We conducted our 3</t>
    </r>
    <r>
      <rPr>
        <vertAlign val="superscript"/>
        <sz val="10"/>
        <color theme="1"/>
        <rFont val="Aptos"/>
        <family val="2"/>
        <charset val="1"/>
      </rPr>
      <t>rd</t>
    </r>
    <r>
      <rPr>
        <sz val="10"/>
        <color theme="1"/>
        <rFont val="Aptos"/>
        <family val="2"/>
        <charset val="1"/>
      </rPr>
      <t xml:space="preserve"> cybersecurity penetration test and received no high or urgent issues to resolve.</t>
    </r>
  </si>
  <si>
    <t>AI Lunch-n-Learn</t>
  </si>
  <si>
    <t>The PhoneBooths have been installed outside the Harbor conference rooms. We will have conference room scheduling setup very soon. We named these conference pods “Nook” and “Cove”.</t>
  </si>
  <si>
    <t>AI Hub</t>
  </si>
  <si>
    <t>We rolled out the Q4 Security Awareness Training with a 15-minute training video. So far 75% completed within the first 30 days.</t>
  </si>
  <si>
    <t>Donna Novander</t>
  </si>
  <si>
    <t>RCC - BuzzBID Implementation</t>
  </si>
  <si>
    <t>We created a new remote desktop server infrastructure and rolled it out to the team on 1/5/2026 to improve the speed of remote access for all team members who need to remote in for applications.</t>
  </si>
  <si>
    <t>Lisa Cuenco</t>
  </si>
  <si>
    <t>Riddell Road Job Site Closed</t>
  </si>
  <si>
    <t>We partnered with RPI to install StarLink internet at their 451 Sedgwick property where internet has been a long standing issue at that property.</t>
  </si>
  <si>
    <t>Lorene Lambro</t>
  </si>
  <si>
    <t>RPI - 2 Internet Migrations</t>
  </si>
  <si>
    <t>We implemented Single-Sign-On with Procore and KnowBe4 allowing team members to sign into applications with less passwords and greater security, backing Multi-Factor Authentication into these applications.</t>
  </si>
  <si>
    <t>Tony HOlman</t>
  </si>
  <si>
    <t>Resolved issues with score 5 or higher from latest Penetration Test</t>
  </si>
  <si>
    <t>We migrated security policies to the cloud to ensure consistent management across all devices, previously they mostly applied to computers in RushHQ office.</t>
  </si>
  <si>
    <t>Quinn Zorich</t>
  </si>
  <si>
    <t>Began a project to reduce our SharePoint storage by 1TB by 3/30/2026</t>
  </si>
  <si>
    <t>Jake Zuanich</t>
  </si>
  <si>
    <t>Hosted our first enterprise fleet management strategy discussion on 12/16.</t>
  </si>
  <si>
    <t>Barbara Olsen</t>
  </si>
  <si>
    <t>John Paolo (JP) stopped supporting us as of 12/19/2025.</t>
  </si>
  <si>
    <t>Evan Cochran</t>
  </si>
  <si>
    <t>Matthew Nicholas</t>
  </si>
  <si>
    <t>Roger Vernon</t>
  </si>
  <si>
    <t>Gabe Watkins</t>
  </si>
  <si>
    <t>Suzanne Broaten</t>
  </si>
  <si>
    <t>Matt Smith</t>
  </si>
  <si>
    <t>James Wallace</t>
  </si>
  <si>
    <t>Morgan Sly</t>
  </si>
  <si>
    <t>Lee Kilcip</t>
  </si>
  <si>
    <t>David Draszt</t>
  </si>
  <si>
    <t>Renee Kirkland</t>
  </si>
  <si>
    <t>Dan Wolfley</t>
  </si>
  <si>
    <t>Jenny Adams</t>
  </si>
  <si>
    <t>EOS Weekly IT ScoreCard</t>
  </si>
  <si>
    <t>Week Range: Monday to Sunday</t>
  </si>
  <si>
    <t>Week Beginning:</t>
  </si>
  <si>
    <t>Goal | AVG | Panic</t>
  </si>
  <si>
    <t>AVG</t>
  </si>
  <si>
    <t>Team Member Tickets Opened</t>
  </si>
  <si>
    <t>Team Member Tickets Resolved/Closed</t>
  </si>
  <si>
    <t>Tickets Responded To</t>
  </si>
  <si>
    <t>SLA % of Tickets with Initial Response in 2 hours</t>
  </si>
  <si>
    <t>SLA % of Tickets closed in 2 Days</t>
  </si>
  <si>
    <t>Current Open Tickets Within SLA</t>
  </si>
  <si>
    <t>Tickets Re-opened</t>
  </si>
  <si>
    <t>Backlog Tickets (Open beyond week and carried weekend)</t>
  </si>
  <si>
    <t>Ticket Types: Incidents (I), Problems (P), Requests (R), Changes (C)</t>
  </si>
  <si>
    <t>I: 39, P: 3, R: 6, C: 1</t>
  </si>
  <si>
    <t>I: 36, P: 9, R: 9, C: 0</t>
  </si>
  <si>
    <t>I: 29, P: 5, R: 6, C: 2</t>
  </si>
  <si>
    <t>I: 22, P: 2, R: 11, C: 1</t>
  </si>
  <si>
    <t>I: 18, P; 5, R: 12, C: 0</t>
  </si>
  <si>
    <t>I: 26, P: 7, R: 5, C: 2</t>
  </si>
  <si>
    <t>I: 21, P: 1, R: 5, C: 2</t>
  </si>
  <si>
    <t>i: 38, P: 4, R: 6, C: 2</t>
  </si>
  <si>
    <t>i: 18, p: 11, r: 5, C: 0</t>
  </si>
  <si>
    <t>i: 33, p: 11, r: 6, c: 3</t>
  </si>
  <si>
    <t>i: 27, p: 4, r: 9, C: 0</t>
  </si>
  <si>
    <t>I: 34, P: 7, R: 6, C: 6</t>
  </si>
  <si>
    <t>I: 34, P: 9, R: 12, C: 0</t>
  </si>
  <si>
    <t>I: 25, P: 22, R: 9, C: 2</t>
  </si>
  <si>
    <t>I: 24, P: 12, R: 8, C: 2</t>
  </si>
  <si>
    <t>I: 22, P: 16, R: 12, C: 1</t>
  </si>
  <si>
    <t>I: 28, P: 8, R: 7, C: 2</t>
  </si>
  <si>
    <t>I: 34, P: 7, R: 8, C: 1</t>
  </si>
  <si>
    <t>I: 33, P: 15, R: 4, C: 2</t>
  </si>
  <si>
    <t>I: 24, P: 20, R: 7, C: 1</t>
  </si>
  <si>
    <t>I: 39, P: 13, R: 11, C: 1</t>
  </si>
  <si>
    <t>I: 52, P: 17, R: 14, C: 2</t>
  </si>
  <si>
    <t>I: 35, P: 23, R: 13, C: 2</t>
  </si>
  <si>
    <t>I: 30, P: 14, R: 16, C: 1</t>
  </si>
  <si>
    <t>I: 41, P: 9, R: 9, C: 0</t>
  </si>
  <si>
    <t>I: 36, P: 6, R: 5, C: 2</t>
  </si>
  <si>
    <t>I: 43, P:: 27, R: 8, C: 1</t>
  </si>
  <si>
    <t>I: 28, P: 13, R: 9, C: 0</t>
  </si>
  <si>
    <t>I: 37, P: 11, R: 13, C: 4</t>
  </si>
  <si>
    <t xml:space="preserve">I: 38, P: 17, R: 15, C: 0 </t>
  </si>
  <si>
    <t>i: 31, P: 34, R: 18, C: 0</t>
  </si>
  <si>
    <t xml:space="preserve">I: 27, P: 22, R: 5, C: 0 </t>
  </si>
  <si>
    <t>I: 29, P: 18, R: 11, C:3</t>
  </si>
  <si>
    <t>I: 21, P: 20, R: 16, C: 2</t>
  </si>
  <si>
    <t>I: 30, P: 22, R: 9, C: 1</t>
  </si>
  <si>
    <t>I: 24, P: 22, R: 8, C: 0</t>
  </si>
  <si>
    <t>I: 27, P: 18, R: 8, C: 5</t>
  </si>
  <si>
    <t>I: 35, P: 10, R: 6, C: 3</t>
  </si>
  <si>
    <t>I: 23, P: 17, R: 9, C: 1</t>
  </si>
  <si>
    <t>I: 24, P: 28, R: 11, C: 2</t>
  </si>
  <si>
    <t>I: 36, P: 18, R: 7, C: 0</t>
  </si>
  <si>
    <t>I: 29, P: 13, R: 11, C:1</t>
  </si>
  <si>
    <t>I: 37, P: 17, R: 14, C: 0</t>
  </si>
  <si>
    <t>I: 32, P: 14, R: 11, C: 1</t>
  </si>
  <si>
    <t>I: 33, P: 14, R: 20, C: 0</t>
  </si>
  <si>
    <t>I: 49, P:17, R:5, C: 0</t>
  </si>
  <si>
    <t>I: 32, P: 17, R: 12, C: 2</t>
  </si>
  <si>
    <t>I: 61, P: 43, R: 14, C: 5</t>
  </si>
  <si>
    <t xml:space="preserve">I: 42, P: 19, R: 12, C: 0 </t>
  </si>
  <si>
    <t>I: 39, P: 7, R: 8, C: 7</t>
  </si>
  <si>
    <t>Ticket Time sheet hours entered</t>
  </si>
  <si>
    <t>Average Worktime Per Ticket (Minutes)</t>
  </si>
  <si>
    <t>8 Minutes</t>
  </si>
  <si>
    <t xml:space="preserve">Ticket Average Duration - Hours - Lifecycle statistic for tickets (New) </t>
  </si>
  <si>
    <t>Microsoft 365 Backup (3x Daily) (7 days x 4 Types = 28)</t>
  </si>
  <si>
    <t>Defender Anomalous Behaviors  Controlled</t>
  </si>
  <si>
    <t>Darktrace Endpoint Incidents</t>
  </si>
  <si>
    <t>&lt;5</t>
  </si>
  <si>
    <t>IT ScoreCard Report - 2023</t>
  </si>
  <si>
    <t>Audian HelpDesk Tickets (Open/Closed)</t>
  </si>
  <si>
    <t>164/178</t>
  </si>
  <si>
    <t>142/137</t>
  </si>
  <si>
    <t>124/122</t>
  </si>
  <si>
    <t>139/132</t>
  </si>
  <si>
    <t>109/125</t>
  </si>
  <si>
    <t>183/180</t>
  </si>
  <si>
    <t>152/153</t>
  </si>
  <si>
    <t>118/116</t>
  </si>
  <si>
    <t># Rush Team Members with Tickets</t>
  </si>
  <si>
    <t>Audian Alert Tickets (Open/Closed)</t>
  </si>
  <si>
    <t>62/62</t>
  </si>
  <si>
    <t>14/14</t>
  </si>
  <si>
    <t>38/38</t>
  </si>
  <si>
    <t>93/88</t>
  </si>
  <si>
    <t>33/34</t>
  </si>
  <si>
    <t>78/77</t>
  </si>
  <si>
    <t>109/106</t>
  </si>
  <si>
    <t>115/109</t>
  </si>
  <si>
    <t>56 Min.</t>
  </si>
  <si>
    <t>66 Min.</t>
  </si>
  <si>
    <t>67 Min.</t>
  </si>
  <si>
    <t>77 Min.</t>
  </si>
  <si>
    <t>111 Min.</t>
  </si>
  <si>
    <t>81 Min.</t>
  </si>
  <si>
    <t>72 Min.</t>
  </si>
  <si>
    <t>Server Backup (Success/Total)</t>
  </si>
  <si>
    <t xml:space="preserve">Microsoft 365 Backup </t>
  </si>
  <si>
    <t>End of Life Workstations (5+ yrs)</t>
  </si>
  <si>
    <t>N/A</t>
  </si>
  <si>
    <t>Todd Bean ScoreCard - 2024</t>
  </si>
  <si>
    <t>Ticket Responsiveness Rate</t>
  </si>
  <si>
    <t>First Contact Resolution Rate</t>
  </si>
  <si>
    <t>Internal Resolution Rate</t>
  </si>
  <si>
    <t>Average Ticket Resolution Time</t>
  </si>
  <si>
    <t>Provisioning Accuracy</t>
  </si>
  <si>
    <t>Ticket Reopen Rate</t>
  </si>
  <si>
    <t>User Satisfaction</t>
  </si>
  <si>
    <t>Documentation Utilization</t>
  </si>
  <si>
    <t>Process Improvement Contributions</t>
  </si>
  <si>
    <t>Org/Infrastrucutre  Support Tickets</t>
  </si>
  <si>
    <t>&lt;100</t>
  </si>
  <si>
    <t>Team Member Tickets (Help Desk)</t>
  </si>
  <si>
    <t>&lt;200</t>
  </si>
  <si>
    <t>Ticket AVG First Response Time Team Member Tickets</t>
  </si>
  <si>
    <t>Average Resolution Time (AVG Duration) Divide by 8 for # of Days</t>
  </si>
  <si>
    <t>First Response within SLA Team Member Tickets (2 Hours)</t>
  </si>
  <si>
    <t>Closed within SLA Team Member Tickets (2 days)</t>
  </si>
  <si>
    <t>Logged Ticket Hours</t>
  </si>
  <si>
    <t>DarkTrace Release Requests</t>
  </si>
  <si>
    <t>&lt;20</t>
  </si>
  <si>
    <t>Revert back to 2 person IT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</si>
</sst>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  <charset val="1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sz val="10"/>
      <color theme="1"/>
      <name val="Aptos"/>
      <family val="2"/>
      <charset val="1"/>
    </font>
    <font>
      <vertAlign val="superscript"/>
      <sz val="10"/>
      <color theme="1"/>
      <name val="Aptos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rgb="FFACCCEA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7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2" xfId="3"/>
    <xf numFmtId="0" fontId="4" fillId="0" borderId="3" xfId="4"/>
    <xf numFmtId="9" fontId="0" fillId="0" borderId="0" xfId="1" applyFont="1"/>
    <xf numFmtId="10" fontId="0" fillId="0" borderId="0" xfId="0" applyNumberFormat="1"/>
    <xf numFmtId="9" fontId="0" fillId="0" borderId="0" xfId="0" applyNumberFormat="1"/>
    <xf numFmtId="3" fontId="0" fillId="0" borderId="0" xfId="0" applyNumberFormat="1"/>
    <xf numFmtId="0" fontId="0" fillId="0" borderId="0" xfId="1" applyNumberFormat="1" applyFont="1"/>
    <xf numFmtId="0" fontId="4" fillId="0" borderId="0" xfId="4" applyBorder="1"/>
    <xf numFmtId="0" fontId="0" fillId="0" borderId="4" xfId="0" applyBorder="1"/>
    <xf numFmtId="9" fontId="0" fillId="0" borderId="4" xfId="1" applyFont="1" applyBorder="1"/>
    <xf numFmtId="3" fontId="0" fillId="0" borderId="4" xfId="0" applyNumberFormat="1" applyBorder="1"/>
    <xf numFmtId="0" fontId="4" fillId="2" borderId="4" xfId="4" applyFill="1" applyBorder="1"/>
    <xf numFmtId="0" fontId="4" fillId="3" borderId="4" xfId="4" applyFill="1" applyBorder="1"/>
    <xf numFmtId="0" fontId="4" fillId="4" borderId="4" xfId="4" applyFill="1" applyBorder="1"/>
    <xf numFmtId="0" fontId="4" fillId="5" borderId="4" xfId="4" applyFill="1" applyBorder="1"/>
    <xf numFmtId="9" fontId="0" fillId="0" borderId="4" xfId="0" applyNumberFormat="1" applyBorder="1"/>
    <xf numFmtId="9" fontId="4" fillId="2" borderId="4" xfId="4" applyNumberFormat="1" applyFill="1" applyBorder="1"/>
    <xf numFmtId="9" fontId="4" fillId="3" borderId="4" xfId="4" applyNumberFormat="1" applyFill="1" applyBorder="1"/>
    <xf numFmtId="9" fontId="4" fillId="4" borderId="4" xfId="4" applyNumberForma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1" fontId="0" fillId="0" borderId="0" xfId="0" applyNumberFormat="1"/>
    <xf numFmtId="14" fontId="0" fillId="0" borderId="4" xfId="0" applyNumberFormat="1" applyBorder="1"/>
    <xf numFmtId="1" fontId="4" fillId="2" borderId="4" xfId="4" applyNumberFormat="1" applyFill="1" applyBorder="1"/>
    <xf numFmtId="1" fontId="0" fillId="0" borderId="4" xfId="1" applyNumberFormat="1" applyFont="1" applyBorder="1"/>
    <xf numFmtId="1" fontId="4" fillId="4" borderId="4" xfId="4" applyNumberFormat="1" applyFill="1" applyBorder="1"/>
    <xf numFmtId="0" fontId="0" fillId="2" borderId="7" xfId="0" applyFill="1" applyBorder="1" applyAlignment="1">
      <alignment horizontal="center" vertical="center"/>
    </xf>
    <xf numFmtId="2" fontId="0" fillId="0" borderId="4" xfId="0" applyNumberFormat="1" applyBorder="1"/>
    <xf numFmtId="2" fontId="0" fillId="0" borderId="4" xfId="1" applyNumberFormat="1" applyFont="1" applyBorder="1"/>
    <xf numFmtId="1" fontId="0" fillId="0" borderId="4" xfId="0" applyNumberFormat="1" applyBorder="1"/>
    <xf numFmtId="0" fontId="0" fillId="6" borderId="4" xfId="0" applyFill="1" applyBorder="1"/>
    <xf numFmtId="0" fontId="2" fillId="0" borderId="1" xfId="2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0" fontId="3" fillId="0" borderId="2" xfId="3" applyAlignment="1">
      <alignment wrapText="1"/>
    </xf>
    <xf numFmtId="0" fontId="0" fillId="7" borderId="4" xfId="0" applyFill="1" applyBorder="1"/>
    <xf numFmtId="16" fontId="0" fillId="0" borderId="0" xfId="0" applyNumberFormat="1"/>
    <xf numFmtId="0" fontId="0" fillId="0" borderId="6" xfId="0" applyBorder="1"/>
    <xf numFmtId="0" fontId="0" fillId="0" borderId="6" xfId="0" applyBorder="1" applyAlignment="1">
      <alignment wrapText="1"/>
    </xf>
    <xf numFmtId="9" fontId="0" fillId="0" borderId="6" xfId="1" applyFont="1" applyFill="1" applyBorder="1"/>
    <xf numFmtId="0" fontId="0" fillId="0" borderId="12" xfId="1" applyNumberFormat="1" applyFont="1" applyFill="1" applyBorder="1"/>
    <xf numFmtId="0" fontId="0" fillId="0" borderId="0" xfId="1" applyNumberFormat="1" applyFont="1" applyFill="1" applyBorder="1"/>
    <xf numFmtId="0" fontId="0" fillId="0" borderId="6" xfId="1" applyNumberFormat="1" applyFont="1" applyFill="1" applyBorder="1"/>
    <xf numFmtId="1" fontId="0" fillId="0" borderId="12" xfId="1" applyNumberFormat="1" applyFont="1" applyFill="1" applyBorder="1"/>
    <xf numFmtId="3" fontId="0" fillId="0" borderId="12" xfId="0" applyNumberFormat="1" applyBorder="1"/>
    <xf numFmtId="3" fontId="0" fillId="0" borderId="6" xfId="0" applyNumberFormat="1" applyBorder="1"/>
    <xf numFmtId="0" fontId="4" fillId="6" borderId="4" xfId="4" applyFill="1" applyBorder="1"/>
    <xf numFmtId="10" fontId="0" fillId="0" borderId="4" xfId="0" applyNumberFormat="1" applyBorder="1"/>
    <xf numFmtId="0" fontId="0" fillId="5" borderId="4" xfId="0" applyFill="1" applyBorder="1" applyAlignment="1">
      <alignment horizontal="center" vertical="center"/>
    </xf>
    <xf numFmtId="9" fontId="0" fillId="0" borderId="9" xfId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0" fontId="8" fillId="0" borderId="0" xfId="0" applyFont="1"/>
    <xf numFmtId="0" fontId="7" fillId="0" borderId="0" xfId="5"/>
    <xf numFmtId="0" fontId="9" fillId="0" borderId="13" xfId="0" applyFont="1" applyBorder="1"/>
    <xf numFmtId="0" fontId="10" fillId="8" borderId="4" xfId="0" applyFont="1" applyFill="1" applyBorder="1"/>
    <xf numFmtId="0" fontId="10" fillId="8" borderId="7" xfId="0" applyFont="1" applyFill="1" applyBorder="1"/>
    <xf numFmtId="0" fontId="10" fillId="9" borderId="7" xfId="0" applyFont="1" applyFill="1" applyBorder="1"/>
    <xf numFmtId="0" fontId="10" fillId="10" borderId="7" xfId="0" applyFont="1" applyFill="1" applyBorder="1"/>
    <xf numFmtId="0" fontId="10" fillId="11" borderId="7" xfId="0" applyFont="1" applyFill="1" applyBorder="1"/>
    <xf numFmtId="2" fontId="0" fillId="0" borderId="0" xfId="0" applyNumberFormat="1"/>
    <xf numFmtId="0" fontId="11" fillId="0" borderId="0" xfId="0" applyFont="1"/>
    <xf numFmtId="16" fontId="0" fillId="0" borderId="8" xfId="1" applyNumberFormat="1" applyFont="1" applyBorder="1" applyAlignment="1"/>
    <xf numFmtId="9" fontId="0" fillId="0" borderId="9" xfId="1" applyFont="1" applyBorder="1" applyAlignment="1"/>
    <xf numFmtId="9" fontId="0" fillId="0" borderId="10" xfId="1" applyFont="1" applyBorder="1" applyAlignment="1"/>
    <xf numFmtId="14" fontId="0" fillId="0" borderId="0" xfId="0" applyNumberFormat="1"/>
    <xf numFmtId="0" fontId="0" fillId="4" borderId="17" xfId="0" applyFill="1" applyBorder="1"/>
    <xf numFmtId="9" fontId="0" fillId="4" borderId="17" xfId="0" applyNumberFormat="1" applyFill="1" applyBorder="1"/>
    <xf numFmtId="0" fontId="0" fillId="12" borderId="17" xfId="0" applyFill="1" applyBorder="1"/>
    <xf numFmtId="9" fontId="0" fillId="12" borderId="17" xfId="0" applyNumberFormat="1" applyFill="1" applyBorder="1"/>
    <xf numFmtId="0" fontId="0" fillId="3" borderId="17" xfId="0" applyFill="1" applyBorder="1"/>
    <xf numFmtId="0" fontId="0" fillId="2" borderId="17" xfId="0" applyFill="1" applyBorder="1"/>
    <xf numFmtId="0" fontId="0" fillId="0" borderId="10" xfId="0" applyBorder="1"/>
    <xf numFmtId="9" fontId="0" fillId="0" borderId="10" xfId="0" applyNumberFormat="1" applyBorder="1"/>
    <xf numFmtId="9" fontId="0" fillId="0" borderId="10" xfId="1" applyFont="1" applyBorder="1"/>
    <xf numFmtId="16" fontId="0" fillId="0" borderId="9" xfId="1" applyNumberFormat="1" applyFont="1" applyBorder="1" applyAlignment="1"/>
    <xf numFmtId="3" fontId="0" fillId="0" borderId="10" xfId="0" applyNumberFormat="1" applyBorder="1"/>
    <xf numFmtId="0" fontId="3" fillId="0" borderId="0" xfId="3" applyBorder="1"/>
    <xf numFmtId="0" fontId="0" fillId="4" borderId="18" xfId="0" applyFill="1" applyBorder="1"/>
    <xf numFmtId="0" fontId="0" fillId="12" borderId="18" xfId="0" applyFill="1" applyBorder="1"/>
    <xf numFmtId="0" fontId="0" fillId="3" borderId="18" xfId="0" applyFill="1" applyBorder="1"/>
    <xf numFmtId="0" fontId="0" fillId="2" borderId="18" xfId="0" applyFill="1" applyBorder="1"/>
    <xf numFmtId="0" fontId="0" fillId="0" borderId="17" xfId="0" applyBorder="1"/>
    <xf numFmtId="10" fontId="0" fillId="0" borderId="17" xfId="0" applyNumberFormat="1" applyBorder="1"/>
    <xf numFmtId="9" fontId="0" fillId="0" borderId="17" xfId="0" applyNumberFormat="1" applyBorder="1"/>
    <xf numFmtId="0" fontId="0" fillId="0" borderId="18" xfId="0" applyBorder="1"/>
    <xf numFmtId="10" fontId="0" fillId="0" borderId="18" xfId="0" applyNumberFormat="1" applyBorder="1"/>
    <xf numFmtId="2" fontId="0" fillId="0" borderId="18" xfId="0" applyNumberFormat="1" applyBorder="1"/>
    <xf numFmtId="9" fontId="0" fillId="0" borderId="18" xfId="0" applyNumberFormat="1" applyBorder="1"/>
    <xf numFmtId="2" fontId="0" fillId="0" borderId="17" xfId="0" applyNumberFormat="1" applyBorder="1"/>
    <xf numFmtId="0" fontId="6" fillId="0" borderId="17" xfId="0" applyFont="1" applyBorder="1" applyAlignment="1">
      <alignment horizontal="center"/>
    </xf>
    <xf numFmtId="1" fontId="0" fillId="0" borderId="17" xfId="0" applyNumberFormat="1" applyBorder="1"/>
    <xf numFmtId="9" fontId="0" fillId="12" borderId="18" xfId="0" applyNumberFormat="1" applyFill="1" applyBorder="1"/>
    <xf numFmtId="1" fontId="0" fillId="0" borderId="10" xfId="0" applyNumberFormat="1" applyBorder="1"/>
    <xf numFmtId="9" fontId="0" fillId="0" borderId="14" xfId="0" applyNumberFormat="1" applyBorder="1"/>
    <xf numFmtId="9" fontId="0" fillId="0" borderId="16" xfId="1" applyFont="1" applyBorder="1"/>
    <xf numFmtId="0" fontId="0" fillId="0" borderId="17" xfId="0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0" fillId="12" borderId="22" xfId="0" applyFill="1" applyBorder="1" applyAlignment="1">
      <alignment horizontal="center" vertical="center" wrapText="1"/>
    </xf>
    <xf numFmtId="0" fontId="0" fillId="12" borderId="23" xfId="0" applyFill="1" applyBorder="1" applyAlignment="1">
      <alignment horizontal="center" vertical="center" wrapText="1"/>
    </xf>
    <xf numFmtId="0" fontId="0" fillId="12" borderId="24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2" fillId="0" borderId="0" xfId="2" applyBorder="1" applyAlignment="1">
      <alignment horizontal="center"/>
    </xf>
    <xf numFmtId="0" fontId="0" fillId="4" borderId="1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2" fillId="0" borderId="1" xfId="2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6" fillId="0" borderId="8" xfId="1" applyFont="1" applyBorder="1" applyAlignment="1">
      <alignment horizontal="center"/>
    </xf>
    <xf numFmtId="9" fontId="6" fillId="0" borderId="9" xfId="1" applyFont="1" applyBorder="1" applyAlignment="1">
      <alignment horizontal="center"/>
    </xf>
    <xf numFmtId="9" fontId="6" fillId="0" borderId="10" xfId="1" applyFont="1" applyBorder="1" applyAlignment="1">
      <alignment horizontal="center"/>
    </xf>
    <xf numFmtId="0" fontId="0" fillId="0" borderId="11" xfId="0" applyBorder="1" applyAlignment="1">
      <alignment horizontal="center"/>
    </xf>
    <xf numFmtId="16" fontId="0" fillId="0" borderId="8" xfId="1" applyNumberFormat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6">
    <cellStyle name="Heading 1" xfId="2" builtinId="16"/>
    <cellStyle name="Heading 2" xfId="3" builtinId="17"/>
    <cellStyle name="Heading 3" xfId="4" builtinId="18"/>
    <cellStyle name="Hyperlink" xfId="5" builtinId="8"/>
    <cellStyle name="Normal" xfId="0" builtinId="0"/>
    <cellStyle name="Percent" xfId="1" builtinId="5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 Benjamin" id="{AE8E3004-14C0-4AD1-808E-C18CCD9422CB}" userId="S::cbenjamin@therushcompanies.com::242fbbf0-3d1e-4a02-a3c9-be4e5cccad7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1-08T22:35:08.20" personId="{AE8E3004-14C0-4AD1-808E-C18CCD9422CB}" id="{4B9D56DE-2551-49E0-B9EE-4BC5CAF4044A}">
    <text>Unplanned Change Tickets</text>
  </threadedComment>
  <threadedComment ref="B19" dT="2026-01-09T18:42:58.72" personId="{AE8E3004-14C0-4AD1-808E-C18CCD9422CB}" id="{0A06B7F8-A39C-4BA7-87B2-3885CB00640A}">
    <text xml:space="preserve">Atera Patch Status Summary - All sites except unassigned and decommissioned. Patch Class Critical Updates, Exclude retired devices and hide excluded patches.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" dT="2024-01-02T17:09:07.53" personId="{AE8E3004-14C0-4AD1-808E-C18CCD9422CB}" id="{8D082BD5-E091-43B3-8850-34F5DE8CBEBE}">
    <text>IT Support Transition</text>
  </threadedComment>
  <threadedComment ref="B9" dT="2024-06-03T16:34:33.96" personId="{AE8E3004-14C0-4AD1-808E-C18CCD9422CB}" id="{CFF0DE77-2AC3-4EF6-AE2F-46014485B917}">
    <text>Atera -&gt; Reports -&gt; General Report -&gt; Period 'Last Month' -&gt; Opened Ticket Value</text>
  </threadedComment>
  <threadedComment ref="E9" dT="2024-03-04T16:57:06.64" personId="{AE8E3004-14C0-4AD1-808E-C18CCD9422CB}" id="{6884BE93-AA26-4381-9414-EA4D4BB84F8E}">
    <text>RCC: 68
HR: 24
HQ: 19
RFS: 27
RRI: 23
RDC: 5
RCAP: 7
IT: 13
RPI: 10
STE: 2</text>
  </threadedComment>
  <threadedComment ref="B10" dT="2024-06-03T16:38:22.69" personId="{AE8E3004-14C0-4AD1-808E-C18CCD9422CB}" id="{CFB02731-6C03-4D7F-B897-72F102A09C81}">
    <text>Atera -&gt; Reports -&gt; Classic Reports -&gt; Technician Comparison -&gt; Time Period 'Last Month' -&gt; Technicians 'ALL' -&gt; Average First Response Value</text>
  </threadedComment>
  <threadedComment ref="B11" dT="2024-06-03T16:35:46.45" personId="{AE8E3004-14C0-4AD1-808E-C18CCD9422CB}" id="{145A8E14-CC7B-40EF-82D6-42939C9DDEDD}">
    <text xml:space="preserve">Atera -&gt; Reports -&gt; Top Load Sites Report -&gt; Time Period Last Month and Item Count 20 -&gt; Avg. Ticket Duration value. </text>
  </threadedComment>
  <threadedComment ref="B12" dT="2024-06-03T16:37:18.82" personId="{AE8E3004-14C0-4AD1-808E-C18CCD9422CB}" id="{E7E198F1-9A1A-4768-B4C4-3DC458734555}">
    <text>Atera -&gt; Reports -&gt; Classic Reports -&gt; Satisfied Users -&gt; Last Month -&gt; Item Count - max</text>
  </threadedComment>
  <threadedComment ref="B13" dT="2024-06-03T16:39:13.68" personId="{AE8E3004-14C0-4AD1-808E-C18CCD9422CB}" id="{34855B8D-E6CA-451A-8BE1-FAB6DB558110}">
    <text>Atera -&gt; Reports -&gt; Classic Reports -&gt; Service Level Agreement (SLA) -&gt; Time Period 'Last Month', Site Name 'ALL' -&gt; Responded within SLA</text>
  </threadedComment>
  <threadedComment ref="B14" dT="2024-06-03T16:39:23.38" personId="{AE8E3004-14C0-4AD1-808E-C18CCD9422CB}" id="{75011902-A149-486C-840C-EEE7D00FC690}">
    <text>Atera -&gt; Reports -&gt; Classic Reports -&gt; Service Level Agreement (SLA) -&gt; Time Period 'Last Month', Site Name 'ALL' -&gt; Closed within SLA</text>
  </threadedComment>
  <threadedComment ref="B15" dT="2024-03-04T18:10:34.50" personId="{AE8E3004-14C0-4AD1-808E-C18CCD9422CB}" id="{DECBCE94-0597-478A-AA24-C7296B52AE37}">
    <text>Datto -&gt; Console -&gt; Reports -&gt; Backup Reports -&gt; Past Month</text>
  </threadedComment>
  <threadedComment ref="L15" dT="2024-10-02T15:28:14.69" personId="{AE8E3004-14C0-4AD1-808E-C18CCD9422CB}" id="{4B3ED0A6-4896-4F43-98F8-D979D1C8A3E0}">
    <text>Server issue caused a few missed backups</text>
  </threadedComment>
  <threadedComment ref="M15" dT="2024-11-01T21:18:51.14" personId="{AE8E3004-14C0-4AD1-808E-C18CCD9422CB}" id="{B138D126-0E0D-42BF-8EC4-DC379FCDF8DA}">
    <text>1 Day Failure after Power Outage</text>
  </threadedComment>
  <threadedComment ref="B16" dT="2024-03-04T18:10:03.90" personId="{AE8E3004-14C0-4AD1-808E-C18CCD9422CB}" id="{B441569A-EB93-4003-85CE-AAC713223C76}">
    <text>Datto -&gt; SaaS Protection -&gt; Admin -&gt; Reporting -&gt; Last Month</text>
  </threadedComment>
  <threadedComment ref="J16" dT="2024-08-14T20:08:45.23" personId="{AE8E3004-14C0-4AD1-808E-C18CCD9422CB}" id="{F03F9F60-5316-4A8A-A20E-462E746A6316}">
    <text>50% failure rate in July, ticket created with ITG</text>
  </threadedComment>
  <threadedComment ref="B17" dT="2024-06-03T16:43:21.95" personId="{AE8E3004-14C0-4AD1-808E-C18CCD9422CB}" id="{672DAC10-1842-4FB2-A75C-F7DB466881C8}">
    <text>Atera -&gt; Reports -&gt; Classic Reports -&gt; Patch Status Summary -&gt; Site Names 'All except Unassigned, Decomissioned', Patch Class 'Critical', Exclude Retired</text>
  </threadedComment>
  <threadedComment ref="B20" dT="2024-06-03T17:08:40.93" personId="{AE8E3004-14C0-4AD1-808E-C18CCD9422CB}" id="{B6F4DD7F-7782-44C0-8F67-575AD1904029}">
    <text>KnowBe4 -&gt; Training -&gt; Recent Quarterly Campaign -&gt; Completion %</text>
  </threadedComment>
  <threadedComment ref="M20" dT="2024-11-01T21:38:43.77" personId="{AE8E3004-14C0-4AD1-808E-C18CCD9422CB}" id="{19B21BB9-65B2-47BF-835B-C46089427989}">
    <text xml:space="preserve">4 users have not completed, despite multiple emails (Alex Willing, Caleb Boston, Greg Jasper, Matt Smith). </text>
  </threadedComment>
  <threadedComment ref="B21" dT="2024-06-03T17:08:58.07" personId="{AE8E3004-14C0-4AD1-808E-C18CCD9422CB}" id="{C39C6231-ED07-437B-BA52-38964B1D77F7}">
    <text xml:space="preserve">KnowBe4 -&gt; Phishing -&gt; Campaigns -&gt; Last Month -&gt; Phish-Prone % value
</text>
  </threadedComment>
  <threadedComment ref="B22" dT="2024-06-03T17:08:17.16" personId="{AE8E3004-14C0-4AD1-808E-C18CCD9422CB}" id="{E903CF1D-FDCA-460D-820F-17EFEE300702}">
    <text>KnowBe4 -&gt; Phishing -&gt; Campaigns -&gt; Last Months -&gt; Users -&gt; Failures</text>
  </threadedComment>
  <threadedComment ref="E22" dT="2024-03-04T17:59:32.70" personId="{AE8E3004-14C0-4AD1-808E-C18CCD9422CB}" id="{74401A66-88E9-4F1B-BA8B-D6E15FF65898}">
    <text>Failures: Ray W. &amp; Rick Bisol</text>
  </threadedComment>
  <threadedComment ref="F22" dT="2024-04-01T21:42:07.31" personId="{AE8E3004-14C0-4AD1-808E-C18CCD9422CB}" id="{0D136217-0759-4BBB-A385-584FEF28A25E}">
    <text xml:space="preserve">Travis Riebe, Lee Kilcup, Emily Frankland, Evan Peterson, Jeff Swanson, 
</text>
  </threadedComment>
  <threadedComment ref="G22" dT="2024-05-01T23:07:27.04" personId="{AE8E3004-14C0-4AD1-808E-C18CCD9422CB}" id="{2F73A985-1659-431D-BB39-79AF5949C437}">
    <text xml:space="preserve">Suzanne, Jeff S., Trevor, Laura, Bob
</text>
  </threadedComment>
  <threadedComment ref="H22" dT="2024-06-03T16:45:33.35" personId="{AE8E3004-14C0-4AD1-808E-C18CCD9422CB}" id="{1FD7FDC7-CF2F-4270-A016-3FC2E1235BA2}">
    <text xml:space="preserve">Quinn, Jim (opened email &amp; attachment), Alena, Melina, Javier
</text>
  </threadedComment>
  <threadedComment ref="I22" dT="2024-07-01T17:27:55.21" personId="{AE8E3004-14C0-4AD1-808E-C18CCD9422CB}" id="{5B9C97C9-B826-4662-AAFA-40D1F94DD87C}">
    <text>Evan, Nathan, Steve D., Scott Walker, Juli</text>
  </threadedComment>
  <threadedComment ref="J22" dT="2024-08-14T20:03:05.55" personId="{AE8E3004-14C0-4AD1-808E-C18CCD9422CB}" id="{219CAA01-1C0D-47F1-8E8C-265532EF7290}">
    <text>Alex D., Dawn J., Cory F., Steve D., Kurt W.</text>
  </threadedComment>
  <threadedComment ref="K22" dT="2024-09-05T19:41:17.79" personId="{AE8E3004-14C0-4AD1-808E-C18CCD9422CB}" id="{D2BBD96B-CECA-4C2B-8B53-58688A13396A}">
    <text xml:space="preserve">Kyle, Tyler S, David G, Danny K. </text>
  </threadedComment>
  <threadedComment ref="L22" dT="2024-10-02T15:31:29.40" personId="{AE8E3004-14C0-4AD1-808E-C18CCD9422CB}" id="{0935C648-F949-423C-A87E-7808872C1483}">
    <text>Chris D., Lisa C., Levi N., Cory B.</text>
  </threadedComment>
  <threadedComment ref="M22" dT="2024-11-01T21:28:01.82" personId="{AE8E3004-14C0-4AD1-808E-C18CCD9422CB}" id="{8E8949FD-19D2-46D7-A73F-83A8AB549FD8}">
    <text xml:space="preserve">Suzanne, Lorene, Joe, Steve D., Huber
</text>
  </threadedComment>
  <threadedComment ref="N22" dT="2024-12-02T18:46:39.48" personId="{AE8E3004-14C0-4AD1-808E-C18CCD9422CB}" id="{9F94AA4C-F3F2-4738-AAAD-AEE5509A592B}">
    <text xml:space="preserve">Tracey, Kyle, Morgan, Lorene, Stephanie, Connie, Bob
</text>
  </threadedComment>
  <threadedComment ref="O22" dT="2025-01-02T17:27:56.54" personId="{AE8E3004-14C0-4AD1-808E-C18CCD9422CB}" id="{1F489461-7D22-4472-9E1A-E644D5AF43F1}">
    <text xml:space="preserve">Trevor Sherman, Greg Stephens
</text>
  </threadedComment>
  <threadedComment ref="B23" dT="2024-06-03T17:07:06.75" personId="{AE8E3004-14C0-4AD1-808E-C18CCD9422CB}" id="{FE5A7296-97A8-4706-9F3D-75394FCC86CE}">
    <text>DarkTrace Threat Visualizer Left Widget</text>
  </threadedComment>
  <threadedComment ref="B24" dT="2024-06-03T17:07:10.01" personId="{AE8E3004-14C0-4AD1-808E-C18CCD9422CB}" id="{A18E06BA-D3A0-4D08-9688-3B303BEFB7EE}">
    <text>DarkTrace Threat Visualizer Left Widget</text>
  </threadedComment>
  <threadedComment ref="B25" dT="2024-06-03T17:07:13.37" personId="{AE8E3004-14C0-4AD1-808E-C18CCD9422CB}" id="{193462A9-EFE7-4BD4-863D-39103C7B4B6F}">
    <text>DarkTrace Threat Visualizer Left Widget</text>
  </threadedComment>
  <threadedComment ref="B26" dT="2024-06-03T17:07:46.49" personId="{AE8E3004-14C0-4AD1-808E-C18CCD9422CB}" id="{D2721DCC-984D-4469-B8F3-481901B69D55}">
    <text>DarkTrace Email Security Summary Dashboard</text>
  </threadedComment>
  <threadedComment ref="B27" dT="2024-06-03T17:07:50.59" personId="{AE8E3004-14C0-4AD1-808E-C18CCD9422CB}" id="{611B92E3-8518-41DD-8E05-ADD4EF748886}">
    <text>DarkTrace Email Security Summary Dashboard</text>
  </threadedComment>
  <threadedComment ref="B28" dT="2024-06-03T17:07:54.73" personId="{AE8E3004-14C0-4AD1-808E-C18CCD9422CB}" id="{AE37BBD8-5989-4124-A4CE-289A24A98D12}">
    <text>DarkTrace Email Security Summary Dashboard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4-01-02T17:09:07.53" personId="{AE8E3004-14C0-4AD1-808E-C18CCD9422CB}" id="{7EED4D4E-A0D7-4776-A75B-59CE12B6C202}">
    <text>IT Support Transition</text>
  </threadedComment>
  <threadedComment ref="A3" dT="2024-06-03T16:34:33.96" personId="{AE8E3004-14C0-4AD1-808E-C18CCD9422CB}" id="{1BAA7698-93B6-40AF-9FB6-01AA6B5FF049}">
    <text>Atera -&gt; Reports -&gt; General Report -&gt; Period 'Last Month' -&gt; Opened Ticket Value</text>
  </threadedComment>
  <threadedComment ref="C3" dT="2024-03-04T16:57:06.64" personId="{AE8E3004-14C0-4AD1-808E-C18CCD9422CB}" id="{B3CE9B1C-1361-4F7C-95BE-34FE9A958AD0}">
    <text>RCC: 68
HR: 24
HQ: 19
RFS: 27
RRI: 23
RDC: 5
RCAP: 7
IT: 13
RPI: 10
STE: 2</text>
  </threadedComment>
  <threadedComment ref="A4" dT="2024-06-03T16:38:22.69" personId="{AE8E3004-14C0-4AD1-808E-C18CCD9422CB}" id="{913F9E57-32C1-461D-A4E8-9BD8A04ECB36}">
    <text>Atera -&gt; Reports -&gt; Classic Reports -&gt; Technician Comparison -&gt; Time Period 'Last Month' -&gt; Technicians 'ALL' -&gt; Average First Response Value</text>
  </threadedComment>
  <threadedComment ref="A5" dT="2024-06-03T16:35:46.45" personId="{AE8E3004-14C0-4AD1-808E-C18CCD9422CB}" id="{D5C9B13B-CE58-43FA-BA42-27E5FEDC78A2}">
    <text xml:space="preserve">Atera -&gt; Reports -&gt; Top Load Sites Report -&gt; Time Period Last Month and Item Count 20 -&gt; Avg. Ticket Duration value. </text>
  </threadedComment>
  <threadedComment ref="A6" dT="2024-06-03T16:37:18.82" personId="{AE8E3004-14C0-4AD1-808E-C18CCD9422CB}" id="{D805C96E-C871-4607-B921-E328A26B0D9E}">
    <text>Atera -&gt; Reports -&gt; Classic Reports -&gt; Satisfied Users -&gt; Last Month -&gt; Item Count - max</text>
  </threadedComment>
  <threadedComment ref="A7" dT="2024-06-03T16:39:13.68" personId="{AE8E3004-14C0-4AD1-808E-C18CCD9422CB}" id="{50CC9B47-8686-445C-A9C2-02AB9FFDF335}">
    <text>Atera -&gt; Reports -&gt; Classic Reports -&gt; Service Level Agreement (SLA) -&gt; Time Period 'Last Month', Site Name 'ALL' -&gt; Responded within SLA</text>
  </threadedComment>
  <threadedComment ref="A8" dT="2024-06-03T16:39:23.38" personId="{AE8E3004-14C0-4AD1-808E-C18CCD9422CB}" id="{B50798BA-9F04-4874-9F2D-13C2272C2AC7}">
    <text>Atera -&gt; Reports -&gt; Classic Reports -&gt; Service Level Agreement (SLA) -&gt; Time Period 'Last Month', Site Name 'ALL' -&gt; Closed within SLA</text>
  </threadedComment>
  <threadedComment ref="A12" dT="2024-06-03T16:34:33.96" personId="{AE8E3004-14C0-4AD1-808E-C18CCD9422CB}" id="{AC904B09-8922-47C4-8A60-0CAC395C09F2}">
    <text>Atera -&gt; Reports -&gt; General Report -&gt; Period 'Last Month' -&gt; Opened Ticket Value</text>
  </threadedComment>
  <threadedComment ref="A13" dT="2024-06-03T16:38:22.69" personId="{AE8E3004-14C0-4AD1-808E-C18CCD9422CB}" id="{458148B2-E3B7-4B9A-8ADC-0C27AD13B23A}">
    <text>Atera -&gt; Reports -&gt; Classic Reports -&gt; Technician Comparison -&gt; Time Period 'Last Month' -&gt; Technicians 'ALL' -&gt; Average First Response Value</text>
  </threadedComment>
  <threadedComment ref="A14" dT="2024-06-03T16:35:46.45" personId="{AE8E3004-14C0-4AD1-808E-C18CCD9422CB}" id="{D37D2B24-373B-4669-880A-18C5543297CF}">
    <text xml:space="preserve">Atera -&gt; Reports -&gt; Top Load Sites Report -&gt; Time Period Last Month and Item Count 20 -&gt; Avg. Ticket Duration value. </text>
  </threadedComment>
  <threadedComment ref="A15" dT="2024-06-03T16:37:18.82" personId="{AE8E3004-14C0-4AD1-808E-C18CCD9422CB}" id="{FA14D85A-0D87-4A9F-95C6-C4C8985C7F40}">
    <text>Atera -&gt; Reports -&gt; Classic Reports -&gt; Satisfied Users -&gt; Last Month -&gt; Item Count - max</text>
  </threadedComment>
  <threadedComment ref="A16" dT="2024-06-03T16:39:13.68" personId="{AE8E3004-14C0-4AD1-808E-C18CCD9422CB}" id="{F9A3E3CA-8D3F-4DC1-8E86-F25D168677C3}">
    <text>Atera -&gt; Reports -&gt; Classic Reports -&gt; Service Level Agreement (SLA) -&gt; Time Period 'Last Month', Site Name 'ALL' -&gt; Responded within SLA</text>
  </threadedComment>
  <threadedComment ref="A17" dT="2024-06-03T16:39:23.38" personId="{AE8E3004-14C0-4AD1-808E-C18CCD9422CB}" id="{2BCE5BC0-7BBD-4393-9516-E97A6AFAB300}">
    <text>Atera -&gt; Reports -&gt; Classic Reports -&gt; Service Level Agreement (SLA) -&gt; Time Period 'Last Month', Site Name 'ALL' -&gt; Closed within SLA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4" dT="2026-01-08T22:35:08.20" personId="{AE8E3004-14C0-4AD1-808E-C18CCD9422CB}" id="{04FC3357-7DA7-4C96-BE6A-14BC4D297BA1}">
    <text>Unplanned Change Tickets</text>
  </threadedComment>
  <threadedComment ref="B17" dT="2026-01-12T17:32:26.48" personId="{AE8E3004-14C0-4AD1-808E-C18CCD9422CB}" id="{395B4B05-4F52-42CF-A1D8-C2B53947085C}">
    <text>Weekly DT EOS Operational Report sent each Sunday at 12:00AM</text>
  </threadedComment>
  <threadedComment ref="B18" dT="2026-01-09T18:42:58.72" personId="{AE8E3004-14C0-4AD1-808E-C18CCD9422CB}" id="{073971C6-14FF-4A00-9833-3ECDCB03A2BE}">
    <text xml:space="preserve">Atera Patch Status Summary - All sites except unassigned and decommissioned. Patch Class Critical Updates, Exclude retired devices and hide excluded patches.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5" dT="2024-06-03T16:34:33.96" personId="{AE8E3004-14C0-4AD1-808E-C18CCD9422CB}" id="{E1E99758-41E7-4F08-94A9-03DD1E28EE20}">
    <text>Atera -&gt; Reports -&gt; General Report -&gt; Period 'Last Month' -&gt; Opened Ticket Value</text>
  </threadedComment>
  <threadedComment ref="B6" dT="2024-06-03T16:38:22.69" personId="{AE8E3004-14C0-4AD1-808E-C18CCD9422CB}" id="{7A5D3384-C524-4510-AB81-6D387CFC551E}">
    <text>Atera -&gt; Reports -&gt; Classic Reports -&gt; Technician Comparison -&gt; Time Period 'Last Month' -&gt; Technicians 'ALL' -&gt; Average First Response Value</text>
  </threadedComment>
  <threadedComment ref="B7" dT="2024-06-03T16:35:46.45" personId="{AE8E3004-14C0-4AD1-808E-C18CCD9422CB}" id="{B9C34C57-6346-4B38-ADDF-16BF8BD2075F}">
    <text xml:space="preserve">Atera -&gt; Reports -&gt; Top Load Sites Report -&gt; Time Period Last Month and Item Count 20 -&gt; Avg. Ticket Duration value. </text>
  </threadedComment>
  <threadedComment ref="B8" dT="2024-06-03T16:37:18.82" personId="{AE8E3004-14C0-4AD1-808E-C18CCD9422CB}" id="{9E777A94-9550-455B-8018-9781A2AFE824}">
    <text>Atera -&gt; Reports -&gt; Classic Reports -&gt; Satisfied Users -&gt; Last Month -&gt; Item Count - max</text>
  </threadedComment>
  <threadedComment ref="B9" dT="2024-06-03T16:39:13.68" personId="{AE8E3004-14C0-4AD1-808E-C18CCD9422CB}" id="{3B3A0704-4A4C-4F1F-9021-6DA35DB013B3}">
    <text>Atera -&gt; Reports -&gt; Classic Reports -&gt; Service Level Agreement (SLA) -&gt; Time Period 'Last Month', Site Name 'ALL' -&gt; Responded within SLA</text>
  </threadedComment>
  <threadedComment ref="B10" dT="2024-06-03T16:39:23.38" personId="{AE8E3004-14C0-4AD1-808E-C18CCD9422CB}" id="{862D0022-86F1-4CA4-8E41-D5CDCFAA20DE}">
    <text>Atera -&gt; Reports -&gt; Classic Reports -&gt; Service Level Agreement (SLA) -&gt; Time Period 'Last Month', Site Name 'ALL' -&gt; Closed within SLA</text>
  </threadedComment>
  <threadedComment ref="B12" dT="2024-03-04T18:10:34.50" personId="{AE8E3004-14C0-4AD1-808E-C18CCD9422CB}" id="{67238653-AA4C-4462-9514-1659354897A4}">
    <text>Datto -&gt; Console -&gt; Reports -&gt; Backup Reports -&gt; Past Month</text>
  </threadedComment>
  <threadedComment ref="B13" dT="2024-03-04T18:10:03.90" personId="{AE8E3004-14C0-4AD1-808E-C18CCD9422CB}" id="{A27A5242-0EF3-4D80-B496-5146E78B79BC}">
    <text>Datto -&gt; SaaS Protection -&gt; Admin -&gt; Reporting -&gt; Last Month</text>
  </threadedComment>
  <threadedComment ref="B14" dT="2024-06-03T16:43:21.95" personId="{AE8E3004-14C0-4AD1-808E-C18CCD9422CB}" id="{FD28B038-43EB-4879-9176-866323C9D7F4}">
    <text>Atera -&gt; Reports -&gt; Classic Reports -&gt; Patch Status Summary -&gt; Site Names 'All except Unassigned, Decomissioned', Patch Class 'Critical', Exclude Retired</text>
  </threadedComment>
  <threadedComment ref="B15" dT="2024-06-03T17:08:40.93" personId="{AE8E3004-14C0-4AD1-808E-C18CCD9422CB}" id="{B59925C4-899F-483A-8B3F-53F030BC5C53}">
    <text>KnowBe4 -&gt; Training -&gt; Recent Quarterly Campaign -&gt; Completion %</text>
  </threadedComment>
  <threadedComment ref="B16" dT="2024-06-03T17:08:58.07" personId="{AE8E3004-14C0-4AD1-808E-C18CCD9422CB}" id="{2E161BEF-AA15-4F93-AF35-4FD0A9F7E5D0}">
    <text xml:space="preserve">KnowBe4 -&gt; Phishing -&gt; Campaigns -&gt; Last Month -&gt; Phish-Prone % value
</text>
  </threadedComment>
  <threadedComment ref="B17" dT="2024-06-03T17:08:17.16" personId="{AE8E3004-14C0-4AD1-808E-C18CCD9422CB}" id="{C61DCEEA-4F58-467B-BE26-0A38E037CD86}">
    <text>KnowBe4 -&gt; Phishing -&gt; Campaigns -&gt; Last Months -&gt; Users -&gt; Failures</text>
  </threadedComment>
  <threadedComment ref="B18" dT="2024-06-03T17:07:06.75" personId="{AE8E3004-14C0-4AD1-808E-C18CCD9422CB}" id="{E08E1DEE-9095-4AFF-B903-3727DDDDFA7A}">
    <text>DarkTrace Threat Visualizer Left Widget</text>
  </threadedComment>
  <threadedComment ref="B19" dT="2024-06-03T17:07:10.01" personId="{AE8E3004-14C0-4AD1-808E-C18CCD9422CB}" id="{65B524F5-8801-4102-A4EB-AA246162AF4E}">
    <text>DarkTrace Threat Visualizer Left Widget</text>
  </threadedComment>
  <threadedComment ref="B20" dT="2024-06-03T17:07:13.37" personId="{AE8E3004-14C0-4AD1-808E-C18CCD9422CB}" id="{D84843AD-20A9-405C-A515-457F0F95905C}">
    <text>DarkTrace Threat Visualizer Left Widget</text>
  </threadedComment>
  <threadedComment ref="B21" dT="2024-06-03T17:07:46.49" personId="{AE8E3004-14C0-4AD1-808E-C18CCD9422CB}" id="{C523636D-5E56-4DE3-98AD-BAE79F4CAF04}">
    <text>DarkTrace Email Security Summary Dashboard</text>
  </threadedComment>
  <threadedComment ref="B22" dT="2024-06-03T17:07:50.59" personId="{AE8E3004-14C0-4AD1-808E-C18CCD9422CB}" id="{EA00784B-E685-4457-A421-D3BAA2B0D903}">
    <text>DarkTrace Email Security Summary Dashboard</text>
  </threadedComment>
  <threadedComment ref="B23" dT="2024-06-03T17:07:54.73" personId="{AE8E3004-14C0-4AD1-808E-C18CCD9422CB}" id="{C8FBADB6-9523-4A95-BB6F-657CF7B3389F}">
    <text>DarkTrace Email Security Summary Dashboard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8" dT="2025-01-13T17:38:15.41" personId="{AE8E3004-14C0-4AD1-808E-C18CCD9422CB}" id="{B02B874C-2935-42BE-92C7-907BC94971A8}">
    <text>Reports -&gt; Service Level Agreement(SLA) report -&gt; Last 7 days</text>
  </threadedComment>
  <threadedComment ref="B9" dT="2025-01-13T17:38:25.22" personId="{AE8E3004-14C0-4AD1-808E-C18CCD9422CB}" id="{23E104C5-FE32-4497-83E0-0831FEE38544}">
    <text>Reports -&gt; Service Level Agreement(SLA) report -&gt; Last 7 days</text>
  </threadedComment>
  <threadedComment ref="B14" dT="2025-01-13T17:36:52.74" personId="{AE8E3004-14C0-4AD1-808E-C18CCD9422CB}" id="{CD725699-3F2E-4A36-8C67-5467785E102E}">
    <text>Report -&gt; Timesheet Report -&gt; Last 7 days</text>
  </threadedComment>
  <threadedComment ref="D19" dT="2025-02-04T17:05:05.34" personId="{AE8E3004-14C0-4AD1-808E-C18CCD9422CB}" id="{7D035C83-486D-45FC-AB23-E6EF78D9E56D}">
    <text>False Positive</text>
  </threadedComment>
  <threadedComment ref="E19" dT="2025-02-04T17:05:10.31" personId="{AE8E3004-14C0-4AD1-808E-C18CCD9422CB}" id="{9F2F0040-AC6E-47A7-BC6C-873C224D8262}">
    <text>False Positive</text>
  </threadedComment>
  <threadedComment ref="G19" dT="2025-02-04T17:05:19.65" personId="{AE8E3004-14C0-4AD1-808E-C18CCD9422CB}" id="{76D9BBCD-93AC-4624-8F70-A91284C7B761}">
    <text>False Positive</text>
  </threadedComment>
  <threadedComment ref="H21" dT="2025-02-10T16:59:06.89" personId="{AE8E3004-14C0-4AD1-808E-C18CCD9422CB}" id="{5328F1C1-2DE9-4BA1-BABB-A54195861979}">
    <text>Lisa Cuenca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J5" dT="2023-11-01T21:13:06.50" personId="{AE8E3004-14C0-4AD1-808E-C18CCD9422CB}" id="{CA9A3840-17A2-49F6-B66A-A59D207FC134}">
    <text>This spike is due to Admin by Request which accounted for 47 tickets</text>
  </threadedComment>
  <threadedComment ref="K5" dT="2023-12-04T20:41:56.27" personId="{AE8E3004-14C0-4AD1-808E-C18CCD9422CB}" id="{3108451D-4A39-4455-8A94-EC674317C0EB}">
    <text>Spike in tickets from Drive Storage Limit and Admin by Request</text>
  </threadedComment>
  <threadedComment ref="J6" dT="2023-11-01T21:12:51.47" personId="{AE8E3004-14C0-4AD1-808E-C18CCD9422CB}" id="{9076EBB0-73C5-4F93-A685-F67AB8F15FEE}">
    <text>This spike is due to Admin by Request</text>
  </threadedComment>
  <threadedComment ref="G16" dT="2023-07-31T22:46:46.22" personId="{AE8E3004-14C0-4AD1-808E-C18CCD9422CB}" id="{524406D2-9A8F-415B-9783-1083315D0592}">
    <text>Potential False Positive - May be Dark Trace</text>
  </threadedComment>
  <threadedComment ref="B17" dT="2023-12-01T22:12:48.92" personId="{AE8E3004-14C0-4AD1-808E-C18CCD9422CB}" id="{8D68F4F7-EA93-4B17-B8C2-A9290463BB0E}">
    <text>Alena McClain, Diego Fox, Levi Nelson, Juli Matsumoto, Chris D., Barbara Moilien, TJ Colvin, Mitch</text>
  </threadedComment>
  <threadedComment ref="C17" dT="2023-12-01T22:12:02.41" personId="{AE8E3004-14C0-4AD1-808E-C18CCD9422CB}" id="{A33D4B08-4FAD-45E0-83BD-1233A11B808F}">
    <text>Katie Dearth, Greg Stephens, Sue Binnie, Suzanne Broaten, Jim Boone</text>
  </threadedComment>
  <threadedComment ref="D17" dT="2023-12-01T22:11:25.58" personId="{AE8E3004-14C0-4AD1-808E-C18CCD9422CB}" id="{C7848CA3-E3F5-415F-9897-7C1F0250F03C}">
    <text>Steve Danard, Erik Peterson</text>
  </threadedComment>
  <threadedComment ref="E17" dT="2023-12-01T22:10:47.95" personId="{AE8E3004-14C0-4AD1-808E-C18CCD9422CB}" id="{9E0A9213-4C96-457F-8CAF-779CBE23ECE9}">
    <text>Kurt W., Sean Edwards</text>
  </threadedComment>
  <threadedComment ref="F17" dT="2023-12-01T22:10:14.83" personId="{AE8E3004-14C0-4AD1-808E-C18CCD9422CB}" id="{C9223067-E71B-4598-B639-4C79F90F2829}">
    <text>Mark C., Renee, Barbara Moilien, David Gleza, Donna Novander</text>
  </threadedComment>
  <threadedComment ref="H17" dT="2023-12-04T20:46:48.79" personId="{AE8E3004-14C0-4AD1-808E-C18CCD9422CB}" id="{EDDC1D68-EF39-4DCA-9E69-8617C3F9C8F8}">
    <text>Todd Vasko, Steve Danard, Teresas Daniels, Barbara Moilien</text>
  </threadedComment>
  <threadedComment ref="I17" dT="2023-12-01T22:08:28.00" personId="{AE8E3004-14C0-4AD1-808E-C18CCD9422CB}" id="{3113792D-FAD5-429C-B6FA-4FF27C729B2B}">
    <text/>
  </threadedComment>
  <threadedComment ref="I17" dT="2023-12-04T20:47:22.16" personId="{AE8E3004-14C0-4AD1-808E-C18CCD9422CB}" id="{F8EDE711-E33B-4142-B43C-DD4E2CD65CAF}" parentId="{3113792D-FAD5-429C-B6FA-4FF27C729B2B}">
    <text>Chris D. , Jacob Bullon, Mitch Hawver, Greg Stephens, Chris B. (Testing page)</text>
  </threadedComment>
  <threadedComment ref="J17" dT="2023-12-01T22:07:49.38" personId="{AE8E3004-14C0-4AD1-808E-C18CCD9422CB}" id="{23EC1CC1-6CDA-4FFB-987F-1DE1C6C3D714}">
    <text>Barbara Olsen</text>
  </threadedComment>
  <threadedComment ref="K17" dT="2023-12-01T22:05:34.02" personId="{AE8E3004-14C0-4AD1-808E-C18CCD9422CB}" id="{F00493C3-E881-43A4-A92A-9B6416C1E47A}">
    <text>Ted, Steve Danard, Danny</text>
  </threadedComment>
  <threadedComment ref="L17" dT="2024-01-02T17:06:55.86" personId="{AE8E3004-14C0-4AD1-808E-C18CCD9422CB}" id="{B880E973-272D-4C16-97B2-AA18B60089E2}">
    <text>Click Failures: Chris DeWald, Melina Mwangi, and Levi Nelson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6" dT="2024-06-03T16:34:33.96" personId="{AE8E3004-14C0-4AD1-808E-C18CCD9422CB}" id="{6FE972EB-695F-433B-8CA9-7B48616953C4}">
    <text>Atera -&gt; Reports -&gt; General Report -&gt; Period 'Last Month' -&gt; Opened Ticket Value</text>
  </threadedComment>
  <threadedComment ref="B7" dT="2024-06-03T16:38:22.69" personId="{AE8E3004-14C0-4AD1-808E-C18CCD9422CB}" id="{9B0F4F18-1113-4801-98C3-F6F2357C9236}">
    <text>Atera -&gt; Reports -&gt; Classic Reports -&gt; Technician Comparison -&gt; Time Period 'Last Month' -&gt; Technicians 'ALL' -&gt; Average First Response Value</text>
  </threadedComment>
  <threadedComment ref="B8" dT="2024-06-03T16:35:46.45" personId="{AE8E3004-14C0-4AD1-808E-C18CCD9422CB}" id="{1811FB23-8F81-40D8-A6DB-BD3E3CC35473}">
    <text xml:space="preserve">Atera -&gt; Reports -&gt; Top Load Sites Report -&gt; Time Period Last Month and Item Count 20 -&gt; Avg. Ticket Duration value. </text>
  </threadedComment>
  <threadedComment ref="B9" dT="2024-06-03T16:37:18.82" personId="{AE8E3004-14C0-4AD1-808E-C18CCD9422CB}" id="{A0763CF4-50FF-41D7-B5E5-5D191BF8D6F6}">
    <text>Atera -&gt; Reports -&gt; Classic Reports -&gt; Satisfied Users -&gt; Last Month -&gt; Item Count - max</text>
  </threadedComment>
  <threadedComment ref="B10" dT="2024-06-03T16:39:13.68" personId="{AE8E3004-14C0-4AD1-808E-C18CCD9422CB}" id="{4ED15884-8C43-4632-8ECC-F544F38D7B30}">
    <text>Atera -&gt; Reports -&gt; Classic Reports -&gt; Service Level Agreement (SLA) -&gt; Time Period 'Last Month', Site Name 'ALL' -&gt; Responded within SLA</text>
  </threadedComment>
  <threadedComment ref="B11" dT="2024-06-03T16:39:23.38" personId="{AE8E3004-14C0-4AD1-808E-C18CCD9422CB}" id="{0FDA4107-A972-409D-96C9-4AFAA2E79816}">
    <text>Atera -&gt; Reports -&gt; Classic Reports -&gt; Service Level Agreement (SLA) -&gt; Time Period 'Last Month', Site Name 'ALL' -&gt; Closed within SLA</text>
  </threadedComment>
  <threadedComment ref="B13" dT="2024-03-04T18:10:34.50" personId="{AE8E3004-14C0-4AD1-808E-C18CCD9422CB}" id="{F885D432-D47A-4D3D-852B-AE3EA7CE4219}">
    <text>Datto -&gt; Console -&gt; Reports -&gt; Backup Reports -&gt; Past Month</text>
  </threadedComment>
  <threadedComment ref="B14" dT="2024-03-04T18:10:03.90" personId="{AE8E3004-14C0-4AD1-808E-C18CCD9422CB}" id="{D3020564-06C4-48A7-A6DE-24568C2B3E37}">
    <text>Datto -&gt; SaaS Protection -&gt; Admin -&gt; Reporting -&gt; Last Month</text>
  </threadedComment>
  <threadedComment ref="B15" dT="2024-06-03T16:43:21.95" personId="{AE8E3004-14C0-4AD1-808E-C18CCD9422CB}" id="{3F02CADF-DC45-49DF-8A9C-DDD3C866D853}">
    <text>Atera -&gt; Reports -&gt; Classic Reports -&gt; Patch Status Summary -&gt; Site Names 'All except Unassigned, Decomissioned', Patch Class 'Critical', Exclude Retired</text>
  </threadedComment>
  <threadedComment ref="B16" dT="2024-06-03T17:08:40.93" personId="{AE8E3004-14C0-4AD1-808E-C18CCD9422CB}" id="{D32CBB5A-93AD-4165-BDA9-CAA0ED195BEC}">
    <text>KnowBe4 -&gt; Training -&gt; Recent Quarterly Campaign -&gt; Completion %</text>
  </threadedComment>
  <threadedComment ref="B17" dT="2024-06-03T17:08:17.16" personId="{AE8E3004-14C0-4AD1-808E-C18CCD9422CB}" id="{08B2F5AA-0BD4-4BD0-8268-2220C60AC48D}">
    <text>KnowBe4 -&gt; Phishing -&gt; Campaigns -&gt; Last Months -&gt; Users -&gt; Failures</text>
  </threadedComment>
  <threadedComment ref="B18" dT="2024-06-03T17:07:13.37" personId="{AE8E3004-14C0-4AD1-808E-C18CCD9422CB}" id="{97CD637E-1256-44DE-9714-79443B1984B8}">
    <text>DarkTrace Threat Visualizer Left Widget</text>
  </threadedComment>
  <threadedComment ref="B19" dT="2024-06-03T17:07:54.73" personId="{AE8E3004-14C0-4AD1-808E-C18CCD9422CB}" id="{80E65923-C271-44F2-A5D9-D6E8B675B69B}">
    <text>DarkTrace Email Security Summary Dashboard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3FEF-8B62-4E09-9242-36BB00E48BA0}">
  <dimension ref="A1:R49"/>
  <sheetViews>
    <sheetView workbookViewId="0">
      <selection activeCell="B13" sqref="B13:D13"/>
    </sheetView>
  </sheetViews>
  <sheetFormatPr defaultRowHeight="15" x14ac:dyDescent="0.25"/>
  <cols>
    <col min="1" max="1" width="12.28515625" customWidth="1"/>
    <col min="2" max="3" width="44.28515625" customWidth="1"/>
    <col min="4" max="4" width="21.140625" bestFit="1" customWidth="1"/>
    <col min="5" max="5" width="18.5703125" bestFit="1" customWidth="1"/>
    <col min="6" max="7" width="19" bestFit="1" customWidth="1"/>
    <col min="8" max="8" width="18.85546875" bestFit="1" customWidth="1"/>
    <col min="9" max="9" width="17.42578125" bestFit="1" customWidth="1"/>
    <col min="10" max="10" width="18.140625" bestFit="1" customWidth="1"/>
    <col min="11" max="11" width="20.140625" bestFit="1" customWidth="1"/>
    <col min="12" max="12" width="18.85546875" customWidth="1"/>
    <col min="13" max="13" width="18.5703125" bestFit="1" customWidth="1"/>
    <col min="14" max="14" width="18.42578125" bestFit="1" customWidth="1"/>
    <col min="15" max="15" width="18.5703125" bestFit="1" customWidth="1"/>
    <col min="16" max="16" width="11.7109375" bestFit="1" customWidth="1"/>
    <col min="17" max="17" width="12.5703125" bestFit="1" customWidth="1"/>
  </cols>
  <sheetData>
    <row r="1" spans="1:17" ht="19.5" x14ac:dyDescent="0.3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</row>
    <row r="4" spans="1:17" ht="17.25" x14ac:dyDescent="0.3">
      <c r="A4" t="s">
        <v>1</v>
      </c>
      <c r="B4" s="78" t="s">
        <v>2</v>
      </c>
      <c r="C4" s="78" t="s">
        <v>3</v>
      </c>
      <c r="D4" s="78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t="s">
        <v>17</v>
      </c>
    </row>
    <row r="5" spans="1:17" ht="17.25" customHeight="1" x14ac:dyDescent="0.3">
      <c r="A5" s="104" t="s">
        <v>18</v>
      </c>
      <c r="B5" s="67" t="s">
        <v>19</v>
      </c>
      <c r="C5" s="79" t="s">
        <v>20</v>
      </c>
      <c r="D5" s="67" t="s">
        <v>21</v>
      </c>
      <c r="E5" s="73"/>
      <c r="F5" s="9"/>
      <c r="G5" s="9"/>
      <c r="H5" s="9"/>
      <c r="I5" s="9"/>
      <c r="J5" s="9"/>
      <c r="K5" s="9"/>
      <c r="L5" s="9"/>
      <c r="M5" s="9"/>
      <c r="N5" s="9"/>
      <c r="O5" s="9"/>
      <c r="P5" s="1"/>
    </row>
    <row r="6" spans="1:17" x14ac:dyDescent="0.25">
      <c r="A6" s="104"/>
      <c r="B6" s="67" t="s">
        <v>22</v>
      </c>
      <c r="C6" s="79" t="s">
        <v>23</v>
      </c>
      <c r="D6" s="67" t="s">
        <v>24</v>
      </c>
      <c r="E6" s="73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7" x14ac:dyDescent="0.25">
      <c r="A7" s="104"/>
      <c r="B7" s="67" t="s">
        <v>25</v>
      </c>
      <c r="C7" s="79" t="s">
        <v>26</v>
      </c>
      <c r="D7" s="68" t="s">
        <v>27</v>
      </c>
      <c r="E7" s="73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7" x14ac:dyDescent="0.25">
      <c r="A8" s="104"/>
      <c r="B8" s="67" t="s">
        <v>28</v>
      </c>
      <c r="C8" s="79" t="s">
        <v>29</v>
      </c>
      <c r="D8" s="67" t="s">
        <v>30</v>
      </c>
      <c r="E8" s="74"/>
      <c r="F8" s="16"/>
      <c r="G8" s="10"/>
      <c r="H8" s="16"/>
      <c r="I8" s="10"/>
      <c r="J8" s="9"/>
      <c r="K8" s="9"/>
      <c r="L8" s="9"/>
      <c r="M8" s="9"/>
      <c r="N8" s="9"/>
      <c r="O8" s="9"/>
      <c r="P8" s="9"/>
    </row>
    <row r="9" spans="1:17" ht="15" customHeight="1" x14ac:dyDescent="0.25">
      <c r="A9" s="99" t="s">
        <v>31</v>
      </c>
      <c r="B9" s="69" t="s">
        <v>32</v>
      </c>
      <c r="C9" s="80" t="s">
        <v>33</v>
      </c>
      <c r="D9" s="69" t="s">
        <v>21</v>
      </c>
      <c r="E9" s="74"/>
      <c r="F9" s="16"/>
      <c r="G9" s="10"/>
      <c r="H9" s="16"/>
      <c r="I9" s="10"/>
      <c r="J9" s="10"/>
      <c r="K9" s="9"/>
      <c r="L9" s="16"/>
      <c r="M9" s="48"/>
      <c r="N9" s="10"/>
      <c r="O9" s="16"/>
      <c r="P9" s="9"/>
    </row>
    <row r="10" spans="1:17" x14ac:dyDescent="0.25">
      <c r="A10" s="100"/>
      <c r="B10" s="69" t="s">
        <v>34</v>
      </c>
      <c r="C10" s="80" t="s">
        <v>35</v>
      </c>
      <c r="D10" s="69" t="s">
        <v>36</v>
      </c>
      <c r="E10" s="74"/>
      <c r="F10" s="16"/>
      <c r="G10" s="16"/>
      <c r="H10" s="16"/>
      <c r="I10" s="16"/>
      <c r="J10" s="16"/>
      <c r="K10" s="10"/>
      <c r="L10" s="16"/>
      <c r="M10" s="16"/>
      <c r="N10" s="16"/>
      <c r="O10" s="16"/>
      <c r="P10" s="16"/>
      <c r="Q10" s="5"/>
    </row>
    <row r="11" spans="1:17" x14ac:dyDescent="0.25">
      <c r="A11" s="100"/>
      <c r="B11" s="69" t="s">
        <v>37</v>
      </c>
      <c r="C11" s="80" t="s">
        <v>38</v>
      </c>
      <c r="D11" s="70" t="s">
        <v>39</v>
      </c>
      <c r="E11" s="95"/>
      <c r="F11" s="16"/>
      <c r="G11" s="16"/>
      <c r="H11" s="16"/>
      <c r="I11" s="16"/>
      <c r="J11" s="16"/>
      <c r="K11" s="10"/>
      <c r="L11" s="16"/>
      <c r="M11" s="16"/>
      <c r="N11" s="16"/>
      <c r="O11" s="16"/>
      <c r="P11" s="16"/>
      <c r="Q11" s="5"/>
    </row>
    <row r="12" spans="1:17" x14ac:dyDescent="0.25">
      <c r="A12" s="100"/>
      <c r="B12" s="69" t="s">
        <v>40</v>
      </c>
      <c r="C12" s="80" t="s">
        <v>41</v>
      </c>
      <c r="D12" s="93" t="s">
        <v>39</v>
      </c>
      <c r="E12" s="92"/>
      <c r="F12" s="94"/>
      <c r="G12" s="30"/>
      <c r="H12" s="28"/>
      <c r="I12" s="28"/>
      <c r="J12" s="28"/>
      <c r="K12" s="29"/>
      <c r="L12" s="28"/>
      <c r="M12" s="28"/>
      <c r="N12" s="28"/>
      <c r="O12" s="28"/>
      <c r="P12" s="28"/>
      <c r="Q12" s="5"/>
    </row>
    <row r="13" spans="1:17" x14ac:dyDescent="0.25">
      <c r="A13" s="101"/>
      <c r="B13" s="69" t="s">
        <v>42</v>
      </c>
      <c r="C13" s="80" t="s">
        <v>43</v>
      </c>
      <c r="D13" s="93" t="s">
        <v>44</v>
      </c>
      <c r="E13" s="92"/>
      <c r="F13" s="94"/>
      <c r="G13" s="30"/>
      <c r="H13" s="28"/>
      <c r="I13" s="28"/>
      <c r="J13" s="28"/>
      <c r="K13" s="29"/>
      <c r="L13" s="28"/>
      <c r="M13" s="28"/>
      <c r="N13" s="28"/>
      <c r="O13" s="28"/>
      <c r="P13" s="28"/>
      <c r="Q13" s="5"/>
    </row>
    <row r="14" spans="1:17" ht="15" customHeight="1" x14ac:dyDescent="0.25">
      <c r="A14" s="102" t="s">
        <v>45</v>
      </c>
      <c r="B14" s="71" t="s">
        <v>46</v>
      </c>
      <c r="C14" s="81" t="s">
        <v>47</v>
      </c>
      <c r="D14" s="81" t="s">
        <v>48</v>
      </c>
      <c r="E14" s="85"/>
      <c r="F14" s="7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5"/>
    </row>
    <row r="15" spans="1:17" x14ac:dyDescent="0.25">
      <c r="A15" s="102"/>
      <c r="B15" s="71" t="s">
        <v>49</v>
      </c>
      <c r="C15" s="81" t="s">
        <v>50</v>
      </c>
      <c r="D15" s="71" t="s">
        <v>51</v>
      </c>
      <c r="E15" s="9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5"/>
    </row>
    <row r="16" spans="1:17" x14ac:dyDescent="0.25">
      <c r="A16" s="102"/>
      <c r="B16" s="71" t="s">
        <v>52</v>
      </c>
      <c r="C16" s="81" t="s">
        <v>53</v>
      </c>
      <c r="D16" s="71" t="s">
        <v>30</v>
      </c>
      <c r="E16" s="75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5"/>
    </row>
    <row r="17" spans="1:18" x14ac:dyDescent="0.25">
      <c r="A17" s="102"/>
      <c r="B17" s="71" t="s">
        <v>54</v>
      </c>
      <c r="C17" s="81" t="s">
        <v>55</v>
      </c>
      <c r="D17" s="71" t="s">
        <v>21</v>
      </c>
      <c r="E17" s="76"/>
      <c r="F17" s="64"/>
      <c r="G17" s="65"/>
      <c r="H17" s="63"/>
      <c r="I17" s="64"/>
      <c r="J17" s="65"/>
      <c r="K17" s="63"/>
      <c r="L17" s="64"/>
      <c r="M17" s="65"/>
      <c r="N17" s="63"/>
      <c r="O17" s="64"/>
      <c r="P17" s="65"/>
      <c r="Q17" s="5"/>
    </row>
    <row r="18" spans="1:18" ht="15" customHeight="1" x14ac:dyDescent="0.25">
      <c r="A18" s="105" t="s">
        <v>56</v>
      </c>
      <c r="B18" s="72" t="s">
        <v>57</v>
      </c>
      <c r="C18" s="82" t="s">
        <v>58</v>
      </c>
      <c r="D18" s="72" t="s">
        <v>59</v>
      </c>
      <c r="E18" s="77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22"/>
    </row>
    <row r="19" spans="1:18" x14ac:dyDescent="0.25">
      <c r="A19" s="106"/>
      <c r="B19" s="72" t="s">
        <v>60</v>
      </c>
      <c r="C19" s="82" t="s">
        <v>61</v>
      </c>
      <c r="D19" s="72" t="s">
        <v>27</v>
      </c>
      <c r="E19" s="7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22"/>
    </row>
    <row r="20" spans="1:18" x14ac:dyDescent="0.25">
      <c r="A20" s="106"/>
      <c r="B20" s="72" t="s">
        <v>62</v>
      </c>
      <c r="C20" s="82" t="s">
        <v>63</v>
      </c>
      <c r="D20" s="72" t="s">
        <v>64</v>
      </c>
      <c r="E20" s="7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22"/>
      <c r="R20" s="6"/>
    </row>
    <row r="21" spans="1:18" x14ac:dyDescent="0.25">
      <c r="A21" s="106"/>
      <c r="B21" s="72" t="s">
        <v>65</v>
      </c>
      <c r="C21" s="72" t="s">
        <v>66</v>
      </c>
      <c r="D21" s="72" t="s">
        <v>48</v>
      </c>
      <c r="E21" s="77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8" x14ac:dyDescent="0.25">
      <c r="D22" t="s">
        <v>67</v>
      </c>
      <c r="E22" t="s">
        <v>68</v>
      </c>
      <c r="F22" t="s">
        <v>68</v>
      </c>
      <c r="G22" t="s">
        <v>68</v>
      </c>
      <c r="H22" t="s">
        <v>68</v>
      </c>
      <c r="I22" t="s">
        <v>68</v>
      </c>
      <c r="J22" t="s">
        <v>68</v>
      </c>
      <c r="K22" t="s">
        <v>68</v>
      </c>
      <c r="L22" t="s">
        <v>68</v>
      </c>
      <c r="M22" t="s">
        <v>68</v>
      </c>
      <c r="N22" t="s">
        <v>68</v>
      </c>
      <c r="O22" t="s">
        <v>68</v>
      </c>
      <c r="P22" t="s">
        <v>68</v>
      </c>
    </row>
    <row r="27" spans="1:18" x14ac:dyDescent="0.25">
      <c r="B27" s="98" t="s">
        <v>69</v>
      </c>
      <c r="C27" s="98"/>
      <c r="E27" s="97" t="s">
        <v>70</v>
      </c>
      <c r="F27" s="97"/>
      <c r="G27" s="97"/>
      <c r="H27" s="97"/>
    </row>
    <row r="28" spans="1:18" x14ac:dyDescent="0.25">
      <c r="B28" s="83" t="s">
        <v>71</v>
      </c>
      <c r="C28" s="91" t="s">
        <v>72</v>
      </c>
      <c r="D28" s="20"/>
      <c r="E28" s="83" t="s">
        <v>73</v>
      </c>
      <c r="F28" s="83" t="s">
        <v>74</v>
      </c>
      <c r="G28" s="83" t="s">
        <v>75</v>
      </c>
      <c r="H28" s="83" t="s">
        <v>76</v>
      </c>
    </row>
    <row r="29" spans="1:18" x14ac:dyDescent="0.25">
      <c r="B29" s="83"/>
      <c r="C29" s="83"/>
      <c r="E29" s="83"/>
      <c r="F29" s="83"/>
      <c r="G29" s="83"/>
      <c r="H29" s="83"/>
    </row>
    <row r="30" spans="1:18" x14ac:dyDescent="0.25">
      <c r="B30" s="83"/>
      <c r="C30" s="83"/>
      <c r="E30" s="83"/>
      <c r="F30" s="83"/>
      <c r="G30" s="83"/>
      <c r="H30" s="83"/>
    </row>
    <row r="31" spans="1:18" x14ac:dyDescent="0.25">
      <c r="B31" s="83"/>
      <c r="C31" s="83"/>
      <c r="E31" s="83"/>
      <c r="F31" s="83"/>
      <c r="G31" s="83"/>
      <c r="H31" s="83"/>
    </row>
    <row r="32" spans="1:18" x14ac:dyDescent="0.25">
      <c r="B32" s="83"/>
      <c r="C32" s="83"/>
      <c r="D32" s="20"/>
      <c r="E32" s="83"/>
      <c r="F32" s="83"/>
      <c r="G32" s="83"/>
      <c r="H32" s="83"/>
    </row>
    <row r="33" spans="2:8" x14ac:dyDescent="0.25">
      <c r="B33" s="83"/>
      <c r="C33" s="83"/>
      <c r="E33" s="83"/>
      <c r="F33" s="83"/>
      <c r="G33" s="83"/>
      <c r="H33" s="83"/>
    </row>
    <row r="34" spans="2:8" x14ac:dyDescent="0.25">
      <c r="B34" s="83"/>
      <c r="C34" s="83"/>
      <c r="E34" s="83"/>
      <c r="F34" s="83"/>
      <c r="G34" s="83"/>
      <c r="H34" s="83"/>
    </row>
    <row r="35" spans="2:8" x14ac:dyDescent="0.25">
      <c r="B35" s="83"/>
      <c r="C35" s="83"/>
      <c r="E35" s="83"/>
      <c r="F35" s="83"/>
      <c r="G35" s="83"/>
      <c r="H35" s="83"/>
    </row>
    <row r="36" spans="2:8" x14ac:dyDescent="0.25">
      <c r="B36" s="83"/>
      <c r="C36" s="83"/>
      <c r="E36" s="83"/>
      <c r="F36" s="83"/>
      <c r="G36" s="83"/>
      <c r="H36" s="83"/>
    </row>
    <row r="37" spans="2:8" x14ac:dyDescent="0.25">
      <c r="B37" s="83"/>
      <c r="C37" s="83"/>
      <c r="E37" s="83"/>
      <c r="F37" s="83"/>
      <c r="G37" s="83"/>
      <c r="H37" s="83"/>
    </row>
    <row r="38" spans="2:8" x14ac:dyDescent="0.25">
      <c r="B38" s="83"/>
      <c r="C38" s="83"/>
      <c r="E38" s="83"/>
      <c r="F38" s="83"/>
      <c r="G38" s="83"/>
      <c r="H38" s="83"/>
    </row>
    <row r="39" spans="2:8" x14ac:dyDescent="0.25">
      <c r="B39" s="83"/>
      <c r="C39" s="83"/>
      <c r="E39" s="83"/>
      <c r="F39" s="83"/>
      <c r="G39" s="83"/>
      <c r="H39" s="83"/>
    </row>
    <row r="40" spans="2:8" x14ac:dyDescent="0.25">
      <c r="B40" s="83"/>
      <c r="C40" s="83"/>
      <c r="E40" s="83"/>
      <c r="F40" s="83"/>
      <c r="G40" s="83"/>
      <c r="H40" s="83"/>
    </row>
    <row r="41" spans="2:8" x14ac:dyDescent="0.25">
      <c r="B41" s="83"/>
      <c r="C41" s="83"/>
      <c r="E41" s="83"/>
      <c r="F41" s="83"/>
      <c r="G41" s="83"/>
      <c r="H41" s="83"/>
    </row>
    <row r="42" spans="2:8" x14ac:dyDescent="0.25">
      <c r="B42" s="83"/>
      <c r="C42" s="83"/>
      <c r="E42" s="83"/>
      <c r="F42" s="83"/>
      <c r="G42" s="83"/>
      <c r="H42" s="83"/>
    </row>
    <row r="43" spans="2:8" x14ac:dyDescent="0.25">
      <c r="B43" s="83"/>
      <c r="C43" s="83"/>
      <c r="E43" s="83"/>
      <c r="F43" s="83"/>
      <c r="G43" s="83"/>
      <c r="H43" s="83"/>
    </row>
    <row r="44" spans="2:8" x14ac:dyDescent="0.25">
      <c r="B44" s="83"/>
      <c r="C44" s="83"/>
      <c r="E44" s="83"/>
      <c r="F44" s="83"/>
      <c r="G44" s="83"/>
      <c r="H44" s="83"/>
    </row>
    <row r="45" spans="2:8" x14ac:dyDescent="0.25">
      <c r="B45" s="83"/>
      <c r="C45" s="83"/>
      <c r="E45" s="83"/>
      <c r="F45" s="83"/>
      <c r="G45" s="83"/>
      <c r="H45" s="83"/>
    </row>
    <row r="46" spans="2:8" x14ac:dyDescent="0.25">
      <c r="B46" s="83"/>
      <c r="C46" s="83"/>
      <c r="E46" s="83"/>
      <c r="F46" s="83"/>
      <c r="G46" s="83"/>
      <c r="H46" s="83"/>
    </row>
    <row r="47" spans="2:8" x14ac:dyDescent="0.25">
      <c r="B47" s="83"/>
      <c r="C47" s="83"/>
      <c r="E47" s="83"/>
      <c r="F47" s="83"/>
      <c r="G47" s="83"/>
      <c r="H47" s="83"/>
    </row>
    <row r="48" spans="2:8" x14ac:dyDescent="0.25">
      <c r="B48" s="83"/>
      <c r="C48" s="83"/>
      <c r="E48" s="83"/>
      <c r="F48" s="83"/>
      <c r="G48" s="83"/>
      <c r="H48" s="83"/>
    </row>
    <row r="49" spans="2:8" x14ac:dyDescent="0.25">
      <c r="B49" s="83"/>
      <c r="C49" s="83"/>
      <c r="E49" s="83"/>
      <c r="F49" s="83"/>
      <c r="G49" s="83"/>
      <c r="H49" s="83"/>
    </row>
  </sheetData>
  <mergeCells count="7">
    <mergeCell ref="E27:H27"/>
    <mergeCell ref="B27:C27"/>
    <mergeCell ref="A9:A13"/>
    <mergeCell ref="A14:A17"/>
    <mergeCell ref="A1:P1"/>
    <mergeCell ref="A5:A8"/>
    <mergeCell ref="A18:A2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5382-A59C-4404-810A-FF46CA3C077F}">
  <dimension ref="A1:S75"/>
  <sheetViews>
    <sheetView workbookViewId="0">
      <selection activeCell="B4" sqref="B4"/>
    </sheetView>
  </sheetViews>
  <sheetFormatPr defaultRowHeight="15" x14ac:dyDescent="0.25"/>
  <cols>
    <col min="2" max="2" width="43" bestFit="1" customWidth="1"/>
    <col min="3" max="3" width="13" customWidth="1"/>
    <col min="4" max="4" width="11.7109375" bestFit="1" customWidth="1"/>
    <col min="5" max="5" width="18.5703125" bestFit="1" customWidth="1"/>
    <col min="6" max="6" width="20.28515625" customWidth="1"/>
    <col min="7" max="7" width="18.42578125" bestFit="1" customWidth="1"/>
    <col min="8" max="8" width="16.85546875" bestFit="1" customWidth="1"/>
    <col min="9" max="9" width="17.85546875" bestFit="1" customWidth="1"/>
    <col min="10" max="10" width="19.5703125" bestFit="1" customWidth="1"/>
    <col min="11" max="11" width="13.5703125" bestFit="1" customWidth="1"/>
    <col min="12" max="12" width="13.42578125" bestFit="1" customWidth="1"/>
    <col min="13" max="13" width="14.42578125" bestFit="1" customWidth="1"/>
    <col min="14" max="14" width="17.85546875" bestFit="1" customWidth="1"/>
    <col min="15" max="15" width="11.85546875" bestFit="1" customWidth="1"/>
    <col min="16" max="16" width="14.85546875" bestFit="1" customWidth="1"/>
  </cols>
  <sheetData>
    <row r="1" spans="1:16" ht="20.25" thickBot="1" x14ac:dyDescent="0.35">
      <c r="B1" s="107" t="s">
        <v>77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16" ht="15.75" thickTop="1" x14ac:dyDescent="0.25"/>
    <row r="4" spans="1:16" ht="18" thickBot="1" x14ac:dyDescent="0.35">
      <c r="B4" s="1" t="s">
        <v>2</v>
      </c>
      <c r="C4" s="1" t="s">
        <v>78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t="s">
        <v>17</v>
      </c>
    </row>
    <row r="5" spans="1:16" ht="16.5" hidden="1" thickTop="1" thickBot="1" x14ac:dyDescent="0.3">
      <c r="B5" s="2" t="s">
        <v>79</v>
      </c>
      <c r="C5" s="2"/>
      <c r="D5">
        <v>144</v>
      </c>
      <c r="E5">
        <v>19</v>
      </c>
    </row>
    <row r="6" spans="1:16" ht="15.75" hidden="1" thickBot="1" x14ac:dyDescent="0.3">
      <c r="B6" s="2" t="s">
        <v>80</v>
      </c>
      <c r="C6" s="2"/>
      <c r="D6">
        <v>26</v>
      </c>
      <c r="E6">
        <v>11</v>
      </c>
    </row>
    <row r="7" spans="1:16" ht="15.75" hidden="1" thickBot="1" x14ac:dyDescent="0.3">
      <c r="B7" s="2" t="s">
        <v>81</v>
      </c>
      <c r="C7" s="2"/>
      <c r="D7">
        <v>192</v>
      </c>
      <c r="E7">
        <v>79</v>
      </c>
    </row>
    <row r="8" spans="1:16" ht="15.75" hidden="1" thickTop="1" x14ac:dyDescent="0.25">
      <c r="B8" s="8" t="s">
        <v>82</v>
      </c>
      <c r="C8" s="8"/>
      <c r="D8">
        <v>74</v>
      </c>
      <c r="E8">
        <v>60</v>
      </c>
    </row>
    <row r="9" spans="1:16" ht="15.75" thickTop="1" x14ac:dyDescent="0.25">
      <c r="A9" s="113" t="s">
        <v>83</v>
      </c>
      <c r="B9" s="12" t="s">
        <v>84</v>
      </c>
      <c r="C9" s="12" t="s">
        <v>85</v>
      </c>
      <c r="D9" s="9">
        <v>78</v>
      </c>
      <c r="E9" s="9">
        <v>208</v>
      </c>
      <c r="F9" s="9">
        <v>232</v>
      </c>
      <c r="G9" s="9">
        <v>305</v>
      </c>
      <c r="H9" s="9">
        <v>263</v>
      </c>
      <c r="I9" s="9">
        <v>211</v>
      </c>
      <c r="J9" s="9">
        <v>192</v>
      </c>
      <c r="K9" s="9">
        <v>240</v>
      </c>
      <c r="L9" s="9">
        <v>236</v>
      </c>
      <c r="M9" s="9">
        <v>170</v>
      </c>
      <c r="N9" s="9">
        <v>167</v>
      </c>
      <c r="O9" s="9">
        <v>141</v>
      </c>
      <c r="P9">
        <f>AVERAGE(D9:O9)</f>
        <v>203.58333333333334</v>
      </c>
    </row>
    <row r="10" spans="1:16" x14ac:dyDescent="0.25">
      <c r="A10" s="114"/>
      <c r="B10" s="12" t="s">
        <v>86</v>
      </c>
      <c r="C10" s="12" t="s">
        <v>87</v>
      </c>
      <c r="D10" s="9" t="s">
        <v>88</v>
      </c>
      <c r="E10" s="9" t="s">
        <v>89</v>
      </c>
      <c r="F10" s="9" t="s">
        <v>90</v>
      </c>
      <c r="G10" s="9" t="s">
        <v>91</v>
      </c>
      <c r="H10" s="9" t="s">
        <v>92</v>
      </c>
      <c r="I10" s="9" t="s">
        <v>93</v>
      </c>
      <c r="J10" s="9" t="s">
        <v>94</v>
      </c>
      <c r="K10" s="9" t="s">
        <v>95</v>
      </c>
      <c r="L10" s="9" t="s">
        <v>96</v>
      </c>
      <c r="M10" s="9" t="s">
        <v>97</v>
      </c>
      <c r="N10" s="9" t="s">
        <v>98</v>
      </c>
      <c r="O10" s="9" t="s">
        <v>87</v>
      </c>
    </row>
    <row r="11" spans="1:16" x14ac:dyDescent="0.25">
      <c r="A11" s="114"/>
      <c r="B11" s="12" t="s">
        <v>99</v>
      </c>
      <c r="C11" s="12" t="s">
        <v>100</v>
      </c>
      <c r="D11" s="9" t="s">
        <v>101</v>
      </c>
      <c r="E11" s="9" t="s">
        <v>102</v>
      </c>
      <c r="F11" s="9" t="s">
        <v>103</v>
      </c>
      <c r="G11" s="9" t="s">
        <v>104</v>
      </c>
      <c r="H11" s="9" t="s">
        <v>105</v>
      </c>
      <c r="I11" s="9" t="s">
        <v>106</v>
      </c>
      <c r="J11" s="9">
        <v>28</v>
      </c>
      <c r="K11" s="9" t="s">
        <v>107</v>
      </c>
      <c r="L11" s="9" t="s">
        <v>108</v>
      </c>
      <c r="M11" s="9" t="s">
        <v>109</v>
      </c>
      <c r="N11" s="9" t="s">
        <v>110</v>
      </c>
      <c r="O11" s="9" t="s">
        <v>111</v>
      </c>
      <c r="P11">
        <f t="shared" ref="P11:P28" si="0">AVERAGE(D11:O11)</f>
        <v>28</v>
      </c>
    </row>
    <row r="12" spans="1:16" x14ac:dyDescent="0.25">
      <c r="A12" s="114"/>
      <c r="B12" s="12" t="s">
        <v>112</v>
      </c>
      <c r="C12" s="12" t="s">
        <v>113</v>
      </c>
      <c r="D12" s="9"/>
      <c r="E12" s="9"/>
      <c r="F12" s="9">
        <v>4.75</v>
      </c>
      <c r="G12" s="9">
        <v>4.93</v>
      </c>
      <c r="H12" s="9">
        <v>5</v>
      </c>
      <c r="I12" s="9">
        <v>5</v>
      </c>
      <c r="J12" s="9">
        <v>5</v>
      </c>
      <c r="K12" s="9">
        <v>4.67</v>
      </c>
      <c r="L12" s="9">
        <v>4.92</v>
      </c>
      <c r="M12" s="9">
        <v>4.5599999999999996</v>
      </c>
      <c r="N12" s="9">
        <v>4.9000000000000004</v>
      </c>
      <c r="O12" s="9">
        <v>4.9000000000000004</v>
      </c>
      <c r="P12">
        <f t="shared" si="0"/>
        <v>4.8630000000000004</v>
      </c>
    </row>
    <row r="13" spans="1:16" x14ac:dyDescent="0.25">
      <c r="A13" s="114"/>
      <c r="B13" s="12" t="s">
        <v>114</v>
      </c>
      <c r="C13" s="17">
        <v>0.9</v>
      </c>
      <c r="D13" s="9"/>
      <c r="E13" s="16">
        <v>0.82</v>
      </c>
      <c r="F13" s="16">
        <v>0.52</v>
      </c>
      <c r="G13" s="16">
        <v>0.56999999999999995</v>
      </c>
      <c r="H13" s="16">
        <v>0.77</v>
      </c>
      <c r="I13" s="16">
        <v>0.83</v>
      </c>
      <c r="J13" s="10">
        <v>0.75</v>
      </c>
      <c r="K13" s="16">
        <v>0.6</v>
      </c>
      <c r="L13" s="16">
        <v>0.75</v>
      </c>
      <c r="M13" s="16">
        <v>0.82</v>
      </c>
      <c r="N13" s="16">
        <v>0.68</v>
      </c>
      <c r="O13" s="16">
        <v>0.67</v>
      </c>
      <c r="P13" s="5">
        <f t="shared" si="0"/>
        <v>0.70727272727272716</v>
      </c>
    </row>
    <row r="14" spans="1:16" x14ac:dyDescent="0.25">
      <c r="A14" s="115"/>
      <c r="B14" s="12" t="s">
        <v>115</v>
      </c>
      <c r="C14" s="17">
        <v>0.9</v>
      </c>
      <c r="D14" s="9"/>
      <c r="E14" s="16">
        <v>0.06</v>
      </c>
      <c r="F14" s="16">
        <v>0.01</v>
      </c>
      <c r="G14" s="16">
        <v>0.04</v>
      </c>
      <c r="H14" s="16">
        <v>0.11</v>
      </c>
      <c r="I14" s="16">
        <v>0.33</v>
      </c>
      <c r="J14" s="10">
        <v>0.33</v>
      </c>
      <c r="K14" s="16">
        <v>0.31</v>
      </c>
      <c r="L14" s="16">
        <v>0.42</v>
      </c>
      <c r="M14" s="16">
        <v>0.52</v>
      </c>
      <c r="N14" s="16">
        <v>0.1</v>
      </c>
      <c r="O14" s="16">
        <v>0.12</v>
      </c>
      <c r="P14" s="5">
        <f t="shared" si="0"/>
        <v>0.21363636363636365</v>
      </c>
    </row>
    <row r="15" spans="1:16" x14ac:dyDescent="0.25">
      <c r="A15" s="108" t="s">
        <v>116</v>
      </c>
      <c r="B15" s="13" t="s">
        <v>117</v>
      </c>
      <c r="C15" s="18">
        <v>1</v>
      </c>
      <c r="D15" s="10">
        <v>0.98</v>
      </c>
      <c r="E15" s="10">
        <v>1</v>
      </c>
      <c r="F15" s="10">
        <v>0.99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0.96309999999999996</v>
      </c>
      <c r="M15" s="10">
        <v>0.99</v>
      </c>
      <c r="N15" s="10">
        <v>1</v>
      </c>
      <c r="O15" s="10">
        <v>0.99950000000000006</v>
      </c>
      <c r="P15" s="5">
        <f t="shared" si="0"/>
        <v>0.99354999999999993</v>
      </c>
    </row>
    <row r="16" spans="1:16" x14ac:dyDescent="0.25">
      <c r="A16" s="108"/>
      <c r="B16" s="13" t="s">
        <v>118</v>
      </c>
      <c r="C16" s="18">
        <v>1</v>
      </c>
      <c r="D16" s="10">
        <v>1</v>
      </c>
      <c r="E16" s="10">
        <v>0.99460000000000004</v>
      </c>
      <c r="F16" s="10">
        <v>0.99</v>
      </c>
      <c r="G16" s="10">
        <v>0.99</v>
      </c>
      <c r="H16" s="10">
        <v>0.97</v>
      </c>
      <c r="I16" s="10">
        <v>1</v>
      </c>
      <c r="J16" s="10">
        <v>0.55000000000000004</v>
      </c>
      <c r="K16" s="10">
        <v>0.95499999999999996</v>
      </c>
      <c r="L16" s="10">
        <v>0.94169999999999998</v>
      </c>
      <c r="M16" s="10">
        <v>1</v>
      </c>
      <c r="N16" s="10">
        <v>0.875</v>
      </c>
      <c r="O16" s="10">
        <v>1</v>
      </c>
      <c r="P16" s="5">
        <f t="shared" si="0"/>
        <v>0.93885833333333346</v>
      </c>
    </row>
    <row r="17" spans="1:19" x14ac:dyDescent="0.25">
      <c r="A17" s="110" t="s">
        <v>119</v>
      </c>
      <c r="B17" s="14" t="s">
        <v>120</v>
      </c>
      <c r="C17" s="19">
        <v>1</v>
      </c>
      <c r="D17" s="10">
        <v>0.28000000000000003</v>
      </c>
      <c r="E17" s="10">
        <v>0.99</v>
      </c>
      <c r="F17" s="10">
        <v>0.999</v>
      </c>
      <c r="G17" s="10">
        <v>0.99</v>
      </c>
      <c r="H17" s="10">
        <v>0.99</v>
      </c>
      <c r="I17" s="10">
        <v>1</v>
      </c>
      <c r="J17" s="10">
        <v>1</v>
      </c>
      <c r="K17" s="10">
        <v>0.99</v>
      </c>
      <c r="L17" s="10">
        <v>0.99</v>
      </c>
      <c r="M17" s="10">
        <v>1</v>
      </c>
      <c r="N17" s="10">
        <v>1</v>
      </c>
      <c r="O17" s="10">
        <v>0.99</v>
      </c>
      <c r="P17" s="5">
        <f t="shared" si="0"/>
        <v>0.93491666666666673</v>
      </c>
    </row>
    <row r="18" spans="1:19" ht="15.75" hidden="1" customHeight="1" thickBot="1" x14ac:dyDescent="0.3">
      <c r="A18" s="111"/>
      <c r="B18" s="14" t="s">
        <v>121</v>
      </c>
      <c r="C18" s="14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5" t="e">
        <f t="shared" si="0"/>
        <v>#DIV/0!</v>
      </c>
    </row>
    <row r="19" spans="1:19" ht="15.75" hidden="1" customHeight="1" thickBot="1" x14ac:dyDescent="0.3">
      <c r="A19" s="111"/>
      <c r="B19" s="14" t="s">
        <v>122</v>
      </c>
      <c r="C19" s="14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5" t="e">
        <f t="shared" si="0"/>
        <v>#DIV/0!</v>
      </c>
    </row>
    <row r="20" spans="1:19" x14ac:dyDescent="0.25">
      <c r="A20" s="111"/>
      <c r="B20" s="14" t="s">
        <v>123</v>
      </c>
      <c r="C20" s="19">
        <v>1</v>
      </c>
      <c r="D20" s="10">
        <v>0.82</v>
      </c>
      <c r="E20" s="10">
        <v>0.99</v>
      </c>
      <c r="F20" s="10">
        <v>0.63</v>
      </c>
      <c r="G20" s="10">
        <v>0.91</v>
      </c>
      <c r="H20" s="10">
        <v>0.97</v>
      </c>
      <c r="I20" s="10">
        <v>0.66</v>
      </c>
      <c r="J20" s="10">
        <v>0.98</v>
      </c>
      <c r="K20" s="10">
        <v>1</v>
      </c>
      <c r="L20" s="10">
        <v>0.79</v>
      </c>
      <c r="M20" s="10">
        <v>0.96099999999999997</v>
      </c>
      <c r="N20" s="10">
        <v>0.16</v>
      </c>
      <c r="O20" s="10">
        <v>0.6</v>
      </c>
      <c r="P20" s="5">
        <f t="shared" si="0"/>
        <v>0.78925000000000001</v>
      </c>
    </row>
    <row r="21" spans="1:19" x14ac:dyDescent="0.25">
      <c r="A21" s="111"/>
      <c r="B21" s="14" t="s">
        <v>124</v>
      </c>
      <c r="C21" s="14" t="s">
        <v>125</v>
      </c>
      <c r="D21" s="10">
        <v>1.2999999999999999E-2</v>
      </c>
      <c r="E21" s="10">
        <v>4.5499999999999999E-2</v>
      </c>
      <c r="F21" s="10">
        <v>5.2999999999999999E-2</v>
      </c>
      <c r="G21" s="10">
        <v>9.8599999999999993E-2</v>
      </c>
      <c r="H21" s="10">
        <v>8.3000000000000004E-2</v>
      </c>
      <c r="I21" s="10">
        <v>8.1000000000000003E-2</v>
      </c>
      <c r="J21" s="10">
        <v>5.9400000000000001E-2</v>
      </c>
      <c r="K21" s="10">
        <v>4.3999999999999997E-2</v>
      </c>
      <c r="L21" s="10">
        <v>5.7000000000000002E-2</v>
      </c>
      <c r="M21" s="10">
        <v>0.06</v>
      </c>
      <c r="N21" s="10">
        <v>9.4600000000000004E-2</v>
      </c>
      <c r="O21" s="10">
        <v>2.3E-2</v>
      </c>
      <c r="P21" s="5">
        <f t="shared" si="0"/>
        <v>5.9341666666666675E-2</v>
      </c>
    </row>
    <row r="22" spans="1:19" x14ac:dyDescent="0.25">
      <c r="A22" s="111"/>
      <c r="B22" s="14" t="s">
        <v>126</v>
      </c>
      <c r="C22" s="14" t="s">
        <v>127</v>
      </c>
      <c r="D22" s="11">
        <v>1</v>
      </c>
      <c r="E22" s="11">
        <v>3</v>
      </c>
      <c r="F22" s="11">
        <v>5</v>
      </c>
      <c r="G22" s="11">
        <v>5</v>
      </c>
      <c r="H22" s="11">
        <v>6</v>
      </c>
      <c r="I22" s="11">
        <v>5</v>
      </c>
      <c r="J22" s="11">
        <v>5</v>
      </c>
      <c r="K22" s="11">
        <v>4</v>
      </c>
      <c r="L22" s="11">
        <v>4</v>
      </c>
      <c r="M22" s="11">
        <v>5</v>
      </c>
      <c r="N22" s="11">
        <v>7</v>
      </c>
      <c r="O22" s="11">
        <v>2</v>
      </c>
      <c r="P22" s="22">
        <f t="shared" si="0"/>
        <v>4.333333333333333</v>
      </c>
    </row>
    <row r="23" spans="1:19" x14ac:dyDescent="0.25">
      <c r="A23" s="111"/>
      <c r="B23" s="14" t="s">
        <v>128</v>
      </c>
      <c r="C23" s="14" t="s">
        <v>129</v>
      </c>
      <c r="D23" s="11"/>
      <c r="E23" s="11"/>
      <c r="F23" s="11"/>
      <c r="G23" s="11"/>
      <c r="H23" s="11">
        <v>130</v>
      </c>
      <c r="I23" s="11">
        <v>153</v>
      </c>
      <c r="J23" s="11">
        <v>156</v>
      </c>
      <c r="K23" s="11">
        <v>152</v>
      </c>
      <c r="L23" s="11">
        <v>271</v>
      </c>
      <c r="M23" s="11">
        <v>169</v>
      </c>
      <c r="N23" s="11">
        <v>141</v>
      </c>
      <c r="O23" s="11">
        <v>167</v>
      </c>
      <c r="P23" s="22">
        <f t="shared" si="0"/>
        <v>167.375</v>
      </c>
    </row>
    <row r="24" spans="1:19" x14ac:dyDescent="0.25">
      <c r="A24" s="111"/>
      <c r="B24" s="14" t="s">
        <v>130</v>
      </c>
      <c r="C24" s="14" t="s">
        <v>131</v>
      </c>
      <c r="D24" s="11"/>
      <c r="E24" s="11"/>
      <c r="F24" s="11"/>
      <c r="G24" s="11"/>
      <c r="H24" s="11">
        <v>7</v>
      </c>
      <c r="I24" s="11">
        <v>12</v>
      </c>
      <c r="J24" s="11">
        <v>6</v>
      </c>
      <c r="K24" s="11">
        <v>10</v>
      </c>
      <c r="L24" s="11">
        <v>8</v>
      </c>
      <c r="M24" s="11">
        <v>10</v>
      </c>
      <c r="N24" s="11">
        <v>9</v>
      </c>
      <c r="O24" s="11">
        <v>13</v>
      </c>
      <c r="P24" s="22">
        <f t="shared" si="0"/>
        <v>9.375</v>
      </c>
    </row>
    <row r="25" spans="1:19" x14ac:dyDescent="0.25">
      <c r="A25" s="112"/>
      <c r="B25" s="14" t="s">
        <v>132</v>
      </c>
      <c r="C25" s="14" t="s">
        <v>133</v>
      </c>
      <c r="D25" s="11"/>
      <c r="E25" s="11"/>
      <c r="F25" s="11"/>
      <c r="G25" s="11"/>
      <c r="H25" s="11">
        <v>0</v>
      </c>
      <c r="I25" s="11">
        <v>0</v>
      </c>
      <c r="J25" s="11">
        <v>1</v>
      </c>
      <c r="K25" s="11">
        <v>1</v>
      </c>
      <c r="L25" s="11">
        <v>0</v>
      </c>
      <c r="M25" s="11">
        <v>1</v>
      </c>
      <c r="N25" s="11">
        <v>0</v>
      </c>
      <c r="O25" s="11">
        <v>0</v>
      </c>
      <c r="P25" s="22">
        <f t="shared" si="0"/>
        <v>0.375</v>
      </c>
    </row>
    <row r="26" spans="1:19" x14ac:dyDescent="0.25">
      <c r="A26" s="109" t="s">
        <v>134</v>
      </c>
      <c r="B26" s="15" t="s">
        <v>135</v>
      </c>
      <c r="C26" s="15" t="s">
        <v>136</v>
      </c>
      <c r="D26" s="11">
        <v>1725</v>
      </c>
      <c r="E26" s="11">
        <v>1417</v>
      </c>
      <c r="F26" s="11">
        <v>3641</v>
      </c>
      <c r="G26" s="11">
        <v>7405</v>
      </c>
      <c r="H26" s="11">
        <v>8438</v>
      </c>
      <c r="I26" s="11">
        <v>8590</v>
      </c>
      <c r="J26" s="11">
        <v>8812</v>
      </c>
      <c r="K26" s="11">
        <v>8991</v>
      </c>
      <c r="L26" s="11">
        <v>11829</v>
      </c>
      <c r="M26" s="11">
        <v>12442</v>
      </c>
      <c r="N26" s="11">
        <v>9140</v>
      </c>
      <c r="O26" s="11">
        <v>7818</v>
      </c>
      <c r="P26" s="22">
        <f t="shared" si="0"/>
        <v>7520.666666666667</v>
      </c>
      <c r="Q26" s="6"/>
      <c r="R26" s="6"/>
      <c r="S26" s="6"/>
    </row>
    <row r="27" spans="1:19" x14ac:dyDescent="0.25">
      <c r="A27" s="109"/>
      <c r="B27" s="15" t="s">
        <v>137</v>
      </c>
      <c r="C27" s="15" t="s">
        <v>138</v>
      </c>
      <c r="D27" s="11">
        <v>12257</v>
      </c>
      <c r="E27" s="11">
        <v>11918</v>
      </c>
      <c r="F27" s="11">
        <v>11241</v>
      </c>
      <c r="G27" s="11">
        <v>10956</v>
      </c>
      <c r="H27" s="11">
        <v>12000</v>
      </c>
      <c r="I27" s="11">
        <v>11959</v>
      </c>
      <c r="J27" s="11">
        <v>12293</v>
      </c>
      <c r="K27" s="11">
        <v>12542</v>
      </c>
      <c r="L27" s="11">
        <v>13374</v>
      </c>
      <c r="M27" s="11">
        <v>14043</v>
      </c>
      <c r="N27" s="11">
        <v>13378</v>
      </c>
      <c r="O27" s="11">
        <v>11019</v>
      </c>
      <c r="P27" s="22">
        <f t="shared" si="0"/>
        <v>12248.333333333334</v>
      </c>
      <c r="Q27" s="6"/>
      <c r="R27" s="6"/>
      <c r="S27" s="6"/>
    </row>
    <row r="28" spans="1:19" x14ac:dyDescent="0.25">
      <c r="A28" s="109"/>
      <c r="B28" s="15" t="s">
        <v>139</v>
      </c>
      <c r="C28" s="15" t="s">
        <v>140</v>
      </c>
      <c r="D28" s="11">
        <v>85958</v>
      </c>
      <c r="E28" s="11">
        <v>84130</v>
      </c>
      <c r="F28" s="11">
        <v>85904</v>
      </c>
      <c r="G28" s="11">
        <v>84235</v>
      </c>
      <c r="H28" s="11">
        <v>82846</v>
      </c>
      <c r="I28" s="11">
        <v>84008</v>
      </c>
      <c r="J28" s="11">
        <v>87220</v>
      </c>
      <c r="K28" s="11">
        <v>86367</v>
      </c>
      <c r="L28" s="11">
        <v>93769</v>
      </c>
      <c r="M28" s="11">
        <v>91887</v>
      </c>
      <c r="N28" s="11">
        <v>89013</v>
      </c>
      <c r="O28" s="11">
        <v>69905</v>
      </c>
      <c r="P28" s="22">
        <f t="shared" si="0"/>
        <v>85436.833333333328</v>
      </c>
      <c r="Q28" s="6"/>
      <c r="R28" s="6"/>
      <c r="S28" s="6"/>
    </row>
    <row r="35" spans="2:3" x14ac:dyDescent="0.25">
      <c r="B35" s="21" t="s">
        <v>141</v>
      </c>
      <c r="C35" s="21" t="s">
        <v>142</v>
      </c>
    </row>
    <row r="36" spans="2:3" x14ac:dyDescent="0.25">
      <c r="B36" t="s">
        <v>143</v>
      </c>
      <c r="C36">
        <v>1</v>
      </c>
    </row>
    <row r="37" spans="2:3" x14ac:dyDescent="0.25">
      <c r="B37" t="s">
        <v>144</v>
      </c>
      <c r="C37">
        <v>1</v>
      </c>
    </row>
    <row r="38" spans="2:3" x14ac:dyDescent="0.25">
      <c r="B38" t="s">
        <v>145</v>
      </c>
      <c r="C38">
        <v>2</v>
      </c>
    </row>
    <row r="39" spans="2:3" x14ac:dyDescent="0.25">
      <c r="B39" t="s">
        <v>146</v>
      </c>
      <c r="C39">
        <v>1</v>
      </c>
    </row>
    <row r="40" spans="2:3" x14ac:dyDescent="0.25">
      <c r="B40" t="s">
        <v>147</v>
      </c>
      <c r="C40">
        <v>1</v>
      </c>
    </row>
    <row r="41" spans="2:3" x14ac:dyDescent="0.25">
      <c r="B41" t="s">
        <v>148</v>
      </c>
      <c r="C41">
        <v>1</v>
      </c>
    </row>
    <row r="42" spans="2:3" x14ac:dyDescent="0.25">
      <c r="B42" t="s">
        <v>149</v>
      </c>
      <c r="C42">
        <v>1</v>
      </c>
    </row>
    <row r="43" spans="2:3" x14ac:dyDescent="0.25">
      <c r="B43" t="s">
        <v>150</v>
      </c>
      <c r="C43">
        <v>1</v>
      </c>
    </row>
    <row r="44" spans="2:3" x14ac:dyDescent="0.25">
      <c r="B44" t="s">
        <v>151</v>
      </c>
      <c r="C44">
        <v>1</v>
      </c>
    </row>
    <row r="45" spans="2:3" x14ac:dyDescent="0.25">
      <c r="B45" t="s">
        <v>152</v>
      </c>
      <c r="C45">
        <v>1</v>
      </c>
    </row>
    <row r="46" spans="2:3" x14ac:dyDescent="0.25">
      <c r="B46" t="s">
        <v>153</v>
      </c>
      <c r="C46">
        <v>1</v>
      </c>
    </row>
    <row r="47" spans="2:3" x14ac:dyDescent="0.25">
      <c r="B47" t="s">
        <v>154</v>
      </c>
      <c r="C47">
        <v>2</v>
      </c>
    </row>
    <row r="48" spans="2:3" x14ac:dyDescent="0.25">
      <c r="B48" t="s">
        <v>155</v>
      </c>
      <c r="C48">
        <v>1</v>
      </c>
    </row>
    <row r="49" spans="2:3" x14ac:dyDescent="0.25">
      <c r="B49" t="s">
        <v>156</v>
      </c>
      <c r="C49">
        <v>1</v>
      </c>
    </row>
    <row r="50" spans="2:3" x14ac:dyDescent="0.25">
      <c r="B50" t="s">
        <v>157</v>
      </c>
      <c r="C50">
        <v>1</v>
      </c>
    </row>
    <row r="51" spans="2:3" x14ac:dyDescent="0.25">
      <c r="B51" t="s">
        <v>158</v>
      </c>
      <c r="C51">
        <v>2</v>
      </c>
    </row>
    <row r="52" spans="2:3" x14ac:dyDescent="0.25">
      <c r="B52" t="s">
        <v>159</v>
      </c>
      <c r="C52">
        <v>1</v>
      </c>
    </row>
    <row r="53" spans="2:3" x14ac:dyDescent="0.25">
      <c r="B53" t="s">
        <v>160</v>
      </c>
      <c r="C53">
        <v>1</v>
      </c>
    </row>
    <row r="54" spans="2:3" x14ac:dyDescent="0.25">
      <c r="B54" t="s">
        <v>161</v>
      </c>
      <c r="C54">
        <v>1</v>
      </c>
    </row>
    <row r="55" spans="2:3" x14ac:dyDescent="0.25">
      <c r="B55" t="s">
        <v>162</v>
      </c>
      <c r="C55">
        <v>1</v>
      </c>
    </row>
    <row r="56" spans="2:3" x14ac:dyDescent="0.25">
      <c r="B56" t="s">
        <v>163</v>
      </c>
      <c r="C56">
        <v>2</v>
      </c>
    </row>
    <row r="57" spans="2:3" x14ac:dyDescent="0.25">
      <c r="B57" t="s">
        <v>164</v>
      </c>
      <c r="C57">
        <v>1</v>
      </c>
    </row>
    <row r="58" spans="2:3" x14ac:dyDescent="0.25">
      <c r="B58" t="s">
        <v>165</v>
      </c>
      <c r="C58">
        <v>1</v>
      </c>
    </row>
    <row r="59" spans="2:3" x14ac:dyDescent="0.25">
      <c r="B59" t="s">
        <v>166</v>
      </c>
      <c r="C59">
        <v>1</v>
      </c>
    </row>
    <row r="60" spans="2:3" x14ac:dyDescent="0.25">
      <c r="B60" t="s">
        <v>167</v>
      </c>
      <c r="C60">
        <v>1</v>
      </c>
    </row>
    <row r="61" spans="2:3" x14ac:dyDescent="0.25">
      <c r="B61" t="s">
        <v>168</v>
      </c>
      <c r="C61">
        <v>2</v>
      </c>
    </row>
    <row r="62" spans="2:3" x14ac:dyDescent="0.25">
      <c r="B62" t="s">
        <v>169</v>
      </c>
      <c r="C62">
        <v>1</v>
      </c>
    </row>
    <row r="63" spans="2:3" x14ac:dyDescent="0.25">
      <c r="B63" t="s">
        <v>170</v>
      </c>
      <c r="C63">
        <v>1</v>
      </c>
    </row>
    <row r="64" spans="2:3" x14ac:dyDescent="0.25">
      <c r="B64" t="s">
        <v>171</v>
      </c>
      <c r="C64">
        <v>1</v>
      </c>
    </row>
    <row r="65" spans="2:3" x14ac:dyDescent="0.25">
      <c r="B65" t="s">
        <v>172</v>
      </c>
      <c r="C65">
        <v>1</v>
      </c>
    </row>
    <row r="66" spans="2:3" x14ac:dyDescent="0.25">
      <c r="B66" t="s">
        <v>173</v>
      </c>
      <c r="C66">
        <v>1</v>
      </c>
    </row>
    <row r="67" spans="2:3" x14ac:dyDescent="0.25">
      <c r="B67" t="s">
        <v>174</v>
      </c>
      <c r="C67">
        <v>1</v>
      </c>
    </row>
    <row r="68" spans="2:3" x14ac:dyDescent="0.25">
      <c r="B68" t="s">
        <v>175</v>
      </c>
      <c r="C68">
        <v>1</v>
      </c>
    </row>
    <row r="69" spans="2:3" x14ac:dyDescent="0.25">
      <c r="B69" t="s">
        <v>176</v>
      </c>
      <c r="C69">
        <v>1</v>
      </c>
    </row>
    <row r="70" spans="2:3" x14ac:dyDescent="0.25">
      <c r="B70" t="s">
        <v>177</v>
      </c>
      <c r="C70">
        <v>3</v>
      </c>
    </row>
    <row r="71" spans="2:3" x14ac:dyDescent="0.25">
      <c r="B71" t="s">
        <v>178</v>
      </c>
      <c r="C71">
        <v>2</v>
      </c>
    </row>
    <row r="72" spans="2:3" x14ac:dyDescent="0.25">
      <c r="B72" t="s">
        <v>179</v>
      </c>
      <c r="C72">
        <v>1</v>
      </c>
    </row>
    <row r="73" spans="2:3" x14ac:dyDescent="0.25">
      <c r="B73" t="s">
        <v>180</v>
      </c>
      <c r="C73">
        <v>1</v>
      </c>
    </row>
    <row r="74" spans="2:3" x14ac:dyDescent="0.25">
      <c r="B74" t="s">
        <v>181</v>
      </c>
      <c r="C74">
        <v>2</v>
      </c>
    </row>
    <row r="75" spans="2:3" x14ac:dyDescent="0.25">
      <c r="B75" s="20" t="s">
        <v>182</v>
      </c>
      <c r="C75">
        <v>1</v>
      </c>
    </row>
  </sheetData>
  <sortState xmlns:xlrd2="http://schemas.microsoft.com/office/spreadsheetml/2017/richdata2" ref="B36:C75">
    <sortCondition ref="B36:B75"/>
  </sortState>
  <mergeCells count="5">
    <mergeCell ref="B1:O1"/>
    <mergeCell ref="A15:A16"/>
    <mergeCell ref="A26:A28"/>
    <mergeCell ref="A17:A25"/>
    <mergeCell ref="A9:A1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CB7D-EC18-49CC-BDC2-AF08F461F204}">
  <dimension ref="A1:M18"/>
  <sheetViews>
    <sheetView workbookViewId="0">
      <selection activeCell="D26" sqref="D26"/>
    </sheetView>
  </sheetViews>
  <sheetFormatPr defaultRowHeight="15" x14ac:dyDescent="0.25"/>
  <cols>
    <col min="1" max="1" width="43" bestFit="1" customWidth="1"/>
  </cols>
  <sheetData>
    <row r="1" spans="1:13" x14ac:dyDescent="0.25">
      <c r="A1" s="116">
        <v>2024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8" thickBot="1" x14ac:dyDescent="0.35">
      <c r="A2" s="1" t="s">
        <v>2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ht="15.75" thickTop="1" x14ac:dyDescent="0.25">
      <c r="A3" s="12" t="s">
        <v>84</v>
      </c>
      <c r="B3" s="9">
        <v>78</v>
      </c>
      <c r="C3" s="9">
        <v>208</v>
      </c>
      <c r="D3" s="9">
        <v>232</v>
      </c>
      <c r="E3" s="9">
        <v>305</v>
      </c>
      <c r="F3" s="9">
        <v>263</v>
      </c>
      <c r="G3" s="9">
        <v>211</v>
      </c>
      <c r="H3" s="9">
        <v>192</v>
      </c>
      <c r="I3" s="9">
        <v>240</v>
      </c>
      <c r="J3" s="9">
        <v>236</v>
      </c>
      <c r="K3" s="9">
        <v>170</v>
      </c>
      <c r="L3" s="9">
        <v>167</v>
      </c>
      <c r="M3" s="9">
        <v>141</v>
      </c>
    </row>
    <row r="4" spans="1:13" x14ac:dyDescent="0.25">
      <c r="A4" s="12" t="s">
        <v>86</v>
      </c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93</v>
      </c>
      <c r="H4" s="9" t="s">
        <v>94</v>
      </c>
      <c r="I4" s="9" t="s">
        <v>95</v>
      </c>
      <c r="J4" s="9" t="s">
        <v>96</v>
      </c>
      <c r="K4" s="9" t="s">
        <v>97</v>
      </c>
      <c r="L4" s="9" t="s">
        <v>98</v>
      </c>
      <c r="M4" s="9" t="s">
        <v>87</v>
      </c>
    </row>
    <row r="5" spans="1:13" x14ac:dyDescent="0.25">
      <c r="A5" s="12" t="s">
        <v>99</v>
      </c>
      <c r="B5" s="9" t="s">
        <v>101</v>
      </c>
      <c r="C5" s="9" t="s">
        <v>102</v>
      </c>
      <c r="D5" s="9" t="s">
        <v>103</v>
      </c>
      <c r="E5" s="9" t="s">
        <v>104</v>
      </c>
      <c r="F5" s="9" t="s">
        <v>105</v>
      </c>
      <c r="G5" s="9" t="s">
        <v>106</v>
      </c>
      <c r="H5" s="9">
        <v>28</v>
      </c>
      <c r="I5" s="9" t="s">
        <v>107</v>
      </c>
      <c r="J5" s="9" t="s">
        <v>108</v>
      </c>
      <c r="K5" s="9" t="s">
        <v>109</v>
      </c>
      <c r="L5" s="9" t="s">
        <v>110</v>
      </c>
      <c r="M5" s="9" t="s">
        <v>111</v>
      </c>
    </row>
    <row r="6" spans="1:13" x14ac:dyDescent="0.25">
      <c r="A6" s="12" t="s">
        <v>112</v>
      </c>
      <c r="B6" s="9"/>
      <c r="C6" s="9"/>
      <c r="D6" s="9">
        <v>4.75</v>
      </c>
      <c r="E6" s="9">
        <v>4.93</v>
      </c>
      <c r="F6" s="9">
        <v>5</v>
      </c>
      <c r="G6" s="9">
        <v>5</v>
      </c>
      <c r="H6" s="9">
        <v>5</v>
      </c>
      <c r="I6" s="9">
        <v>4.67</v>
      </c>
      <c r="J6" s="9">
        <v>4.92</v>
      </c>
      <c r="K6" s="9">
        <v>4.5599999999999996</v>
      </c>
      <c r="L6" s="9">
        <v>4.9000000000000004</v>
      </c>
      <c r="M6" s="9">
        <v>4.9000000000000004</v>
      </c>
    </row>
    <row r="7" spans="1:13" x14ac:dyDescent="0.25">
      <c r="A7" s="12" t="s">
        <v>114</v>
      </c>
      <c r="B7" s="9"/>
      <c r="C7" s="16">
        <v>0.82</v>
      </c>
      <c r="D7" s="16">
        <v>0.52</v>
      </c>
      <c r="E7" s="16">
        <v>0.56999999999999995</v>
      </c>
      <c r="F7" s="16">
        <v>0.77</v>
      </c>
      <c r="G7" s="16">
        <v>0.83</v>
      </c>
      <c r="H7" s="10">
        <v>0.75</v>
      </c>
      <c r="I7" s="16">
        <v>0.6</v>
      </c>
      <c r="J7" s="16">
        <v>0.75</v>
      </c>
      <c r="K7" s="16">
        <v>0.82</v>
      </c>
      <c r="L7" s="16">
        <v>0.68</v>
      </c>
      <c r="M7" s="16">
        <v>0.67</v>
      </c>
    </row>
    <row r="8" spans="1:13" x14ac:dyDescent="0.25">
      <c r="A8" s="12" t="s">
        <v>115</v>
      </c>
      <c r="B8" s="9"/>
      <c r="C8" s="16">
        <v>0.06</v>
      </c>
      <c r="D8" s="16">
        <v>0.01</v>
      </c>
      <c r="E8" s="16">
        <v>0.04</v>
      </c>
      <c r="F8" s="16">
        <v>0.11</v>
      </c>
      <c r="G8" s="16">
        <v>0.33</v>
      </c>
      <c r="H8" s="10">
        <v>0.33</v>
      </c>
      <c r="I8" s="16">
        <v>0.31</v>
      </c>
      <c r="J8" s="16">
        <v>0.42</v>
      </c>
      <c r="K8" s="16">
        <v>0.52</v>
      </c>
      <c r="L8" s="16">
        <v>0.1</v>
      </c>
      <c r="M8" s="16">
        <v>0.12</v>
      </c>
    </row>
    <row r="10" spans="1:13" x14ac:dyDescent="0.25">
      <c r="A10" s="116">
        <v>2025</v>
      </c>
      <c r="B10" s="116"/>
      <c r="C10" s="116"/>
      <c r="D10" s="116"/>
      <c r="E10" s="116"/>
      <c r="F10" s="116"/>
      <c r="G10" s="116"/>
    </row>
    <row r="11" spans="1:13" ht="18" thickBot="1" x14ac:dyDescent="0.35">
      <c r="A11" s="1" t="s">
        <v>2</v>
      </c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</row>
    <row r="12" spans="1:13" ht="15.75" thickTop="1" x14ac:dyDescent="0.25">
      <c r="A12" s="12" t="s">
        <v>84</v>
      </c>
      <c r="B12" s="9">
        <v>195</v>
      </c>
      <c r="C12" s="9">
        <v>161</v>
      </c>
      <c r="D12" s="9">
        <v>197</v>
      </c>
      <c r="E12" s="9">
        <v>234</v>
      </c>
      <c r="F12" s="9">
        <v>252</v>
      </c>
    </row>
    <row r="13" spans="1:13" x14ac:dyDescent="0.25">
      <c r="A13" s="12" t="s">
        <v>86</v>
      </c>
      <c r="B13" s="9" t="s">
        <v>183</v>
      </c>
      <c r="C13" s="9" t="s">
        <v>184</v>
      </c>
      <c r="D13" s="9" t="s">
        <v>185</v>
      </c>
      <c r="E13" s="9" t="s">
        <v>186</v>
      </c>
      <c r="F13" s="9" t="s">
        <v>187</v>
      </c>
    </row>
    <row r="14" spans="1:13" x14ac:dyDescent="0.25">
      <c r="A14" s="12" t="s">
        <v>99</v>
      </c>
      <c r="B14" s="36" t="s">
        <v>188</v>
      </c>
      <c r="C14" s="36" t="s">
        <v>189</v>
      </c>
      <c r="D14" s="36" t="s">
        <v>190</v>
      </c>
      <c r="E14" s="36" t="s">
        <v>191</v>
      </c>
      <c r="F14" s="36" t="s">
        <v>192</v>
      </c>
    </row>
    <row r="15" spans="1:13" x14ac:dyDescent="0.25">
      <c r="A15" s="12" t="s">
        <v>193</v>
      </c>
      <c r="B15" s="16">
        <v>0.95</v>
      </c>
      <c r="C15" s="16">
        <v>0.97</v>
      </c>
      <c r="D15" s="10">
        <v>0.98</v>
      </c>
      <c r="E15" s="16">
        <v>0.97</v>
      </c>
      <c r="F15" s="9">
        <v>100</v>
      </c>
    </row>
    <row r="16" spans="1:13" x14ac:dyDescent="0.25">
      <c r="A16" s="12" t="s">
        <v>114</v>
      </c>
      <c r="B16" s="16">
        <v>0.66</v>
      </c>
      <c r="C16" s="16">
        <v>0.65</v>
      </c>
      <c r="D16" s="16">
        <v>0.76</v>
      </c>
      <c r="E16" s="16">
        <v>0.75</v>
      </c>
      <c r="F16" s="16">
        <v>0.8</v>
      </c>
    </row>
    <row r="17" spans="1:6" x14ac:dyDescent="0.25">
      <c r="A17" s="12" t="s">
        <v>115</v>
      </c>
      <c r="B17" s="16">
        <v>0.15</v>
      </c>
      <c r="C17" s="16">
        <v>0.92759999999999998</v>
      </c>
      <c r="D17" s="16">
        <v>0.8861</v>
      </c>
      <c r="E17" s="16">
        <v>0.93479999999999996</v>
      </c>
      <c r="F17" s="16">
        <v>0.88</v>
      </c>
    </row>
    <row r="18" spans="1:6" x14ac:dyDescent="0.25">
      <c r="A18" s="12" t="s">
        <v>194</v>
      </c>
      <c r="B18" s="22">
        <v>161</v>
      </c>
      <c r="C18" s="30">
        <v>100.75</v>
      </c>
      <c r="D18" s="30">
        <v>130</v>
      </c>
      <c r="E18" s="28">
        <v>103.38</v>
      </c>
      <c r="F18" s="28">
        <v>119.23</v>
      </c>
    </row>
  </sheetData>
  <mergeCells count="2">
    <mergeCell ref="A1:M1"/>
    <mergeCell ref="A10:G1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B62B-D07C-4CE7-A24C-3689D28082DA}">
  <dimension ref="A3:Y21"/>
  <sheetViews>
    <sheetView tabSelected="1" topLeftCell="A3" workbookViewId="0">
      <selection activeCell="B4" sqref="B4:B20"/>
    </sheetView>
  </sheetViews>
  <sheetFormatPr defaultRowHeight="15" x14ac:dyDescent="0.25"/>
  <cols>
    <col min="1" max="1" width="13" customWidth="1"/>
    <col min="2" max="2" width="38.28515625" customWidth="1"/>
    <col min="3" max="3" width="20.5703125" customWidth="1"/>
    <col min="4" max="4" width="20.42578125" customWidth="1"/>
    <col min="5" max="5" width="11.42578125" bestFit="1" customWidth="1"/>
    <col min="6" max="6" width="10.85546875" bestFit="1" customWidth="1"/>
    <col min="7" max="7" width="10.7109375" customWidth="1"/>
    <col min="8" max="9" width="10.42578125" bestFit="1" customWidth="1"/>
    <col min="12" max="13" width="10.42578125" bestFit="1" customWidth="1"/>
  </cols>
  <sheetData>
    <row r="3" spans="1:25" ht="17.25" x14ac:dyDescent="0.3">
      <c r="A3" t="s">
        <v>1</v>
      </c>
      <c r="B3" s="78" t="s">
        <v>2</v>
      </c>
      <c r="C3" s="78" t="s">
        <v>3</v>
      </c>
      <c r="D3" s="78" t="s">
        <v>4</v>
      </c>
      <c r="E3" s="66">
        <v>46020</v>
      </c>
      <c r="F3" s="66">
        <v>46027</v>
      </c>
      <c r="G3" s="66">
        <v>46034</v>
      </c>
      <c r="H3" s="66">
        <v>46041</v>
      </c>
      <c r="I3" s="66">
        <v>46048</v>
      </c>
      <c r="J3" s="66">
        <v>46055</v>
      </c>
      <c r="K3" s="66">
        <v>46062</v>
      </c>
      <c r="L3" s="66">
        <v>46069</v>
      </c>
      <c r="M3" s="66">
        <v>46076</v>
      </c>
      <c r="N3" s="66">
        <v>46083</v>
      </c>
      <c r="O3" s="66">
        <v>46090</v>
      </c>
      <c r="P3" s="66">
        <v>46097</v>
      </c>
      <c r="Q3" s="66">
        <v>46104</v>
      </c>
      <c r="R3" s="66">
        <v>46111</v>
      </c>
    </row>
    <row r="4" spans="1:25" x14ac:dyDescent="0.25">
      <c r="A4" s="104" t="s">
        <v>18</v>
      </c>
      <c r="B4" s="67" t="s">
        <v>19</v>
      </c>
      <c r="C4" s="67" t="s">
        <v>195</v>
      </c>
      <c r="D4" s="67" t="s">
        <v>21</v>
      </c>
      <c r="E4" s="86">
        <v>0</v>
      </c>
      <c r="F4" s="83">
        <v>1</v>
      </c>
      <c r="G4" s="83">
        <v>2</v>
      </c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 spans="1:25" x14ac:dyDescent="0.25">
      <c r="A5" s="104"/>
      <c r="B5" s="67" t="s">
        <v>22</v>
      </c>
      <c r="C5" s="67" t="s">
        <v>23</v>
      </c>
      <c r="D5" s="67" t="s">
        <v>24</v>
      </c>
      <c r="E5" s="86">
        <v>0</v>
      </c>
      <c r="F5" s="83">
        <v>0.01</v>
      </c>
      <c r="G5" s="83">
        <v>0.3</v>
      </c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 spans="1:25" x14ac:dyDescent="0.25">
      <c r="A6" s="104"/>
      <c r="B6" s="67" t="s">
        <v>25</v>
      </c>
      <c r="C6" s="67" t="s">
        <v>26</v>
      </c>
      <c r="D6" s="68" t="s">
        <v>27</v>
      </c>
      <c r="E6" s="87">
        <v>0.95950000000000002</v>
      </c>
      <c r="F6" s="84">
        <v>0.99990000000000001</v>
      </c>
      <c r="G6" s="84">
        <v>0.995</v>
      </c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</row>
    <row r="7" spans="1:25" x14ac:dyDescent="0.25">
      <c r="A7" s="104"/>
      <c r="B7" s="67" t="s">
        <v>28</v>
      </c>
      <c r="C7" s="67" t="s">
        <v>29</v>
      </c>
      <c r="D7" s="67" t="s">
        <v>30</v>
      </c>
      <c r="E7" s="86">
        <v>0</v>
      </c>
      <c r="F7" s="83">
        <v>0</v>
      </c>
      <c r="G7" s="83">
        <v>2</v>
      </c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 spans="1:25" ht="15" customHeight="1" x14ac:dyDescent="0.25">
      <c r="A8" s="99" t="s">
        <v>31</v>
      </c>
      <c r="B8" s="69" t="s">
        <v>32</v>
      </c>
      <c r="C8" s="69" t="s">
        <v>196</v>
      </c>
      <c r="D8" s="69" t="s">
        <v>21</v>
      </c>
      <c r="E8" s="88">
        <f>17/158</f>
        <v>0.10759493670886076</v>
      </c>
      <c r="F8" s="83">
        <v>0.2</v>
      </c>
      <c r="G8" s="90">
        <f>32/139</f>
        <v>0.23021582733812951</v>
      </c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</row>
    <row r="9" spans="1:25" x14ac:dyDescent="0.25">
      <c r="A9" s="100"/>
      <c r="B9" s="69" t="s">
        <v>34</v>
      </c>
      <c r="C9" s="69" t="s">
        <v>197</v>
      </c>
      <c r="D9" s="69" t="s">
        <v>36</v>
      </c>
      <c r="E9" s="86">
        <v>32.47</v>
      </c>
      <c r="F9" s="83">
        <v>13.79</v>
      </c>
      <c r="G9" s="83">
        <v>6.87</v>
      </c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</row>
    <row r="10" spans="1:25" x14ac:dyDescent="0.25">
      <c r="A10" s="100"/>
      <c r="B10" s="69" t="s">
        <v>37</v>
      </c>
      <c r="C10" s="69" t="s">
        <v>38</v>
      </c>
      <c r="D10" s="70" t="s">
        <v>39</v>
      </c>
      <c r="E10" s="87">
        <v>0.90239999999999998</v>
      </c>
      <c r="F10" s="84">
        <v>0.80649999999999999</v>
      </c>
      <c r="G10" s="84">
        <v>0.7742</v>
      </c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 spans="1:25" x14ac:dyDescent="0.25">
      <c r="A11" s="100"/>
      <c r="B11" s="69" t="s">
        <v>40</v>
      </c>
      <c r="C11" s="69" t="s">
        <v>41</v>
      </c>
      <c r="D11" s="70" t="s">
        <v>39</v>
      </c>
      <c r="E11" s="87">
        <v>1</v>
      </c>
      <c r="F11" s="84">
        <v>1</v>
      </c>
      <c r="G11" s="84">
        <v>0.98799999999999999</v>
      </c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 spans="1:25" x14ac:dyDescent="0.25">
      <c r="A12" s="101"/>
      <c r="B12" s="69" t="s">
        <v>42</v>
      </c>
      <c r="C12" s="80" t="s">
        <v>43</v>
      </c>
      <c r="D12" s="93" t="s">
        <v>198</v>
      </c>
      <c r="E12" s="92">
        <v>17</v>
      </c>
      <c r="F12" s="92">
        <v>31</v>
      </c>
      <c r="G12" s="92">
        <v>37</v>
      </c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</row>
    <row r="13" spans="1:25" x14ac:dyDescent="0.25">
      <c r="A13" s="102" t="s">
        <v>45</v>
      </c>
      <c r="B13" s="71" t="s">
        <v>46</v>
      </c>
      <c r="C13" s="71" t="s">
        <v>47</v>
      </c>
      <c r="D13" s="71" t="s">
        <v>48</v>
      </c>
      <c r="E13" s="86">
        <v>0</v>
      </c>
      <c r="F13" s="85">
        <v>1</v>
      </c>
      <c r="G13" s="85">
        <v>0.83330000000000004</v>
      </c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</row>
    <row r="14" spans="1:25" x14ac:dyDescent="0.25">
      <c r="A14" s="102"/>
      <c r="B14" s="71" t="s">
        <v>49</v>
      </c>
      <c r="C14" s="71" t="s">
        <v>50</v>
      </c>
      <c r="D14" s="71" t="s">
        <v>51</v>
      </c>
      <c r="E14" s="86">
        <v>0</v>
      </c>
      <c r="F14" s="83">
        <v>1</v>
      </c>
      <c r="G14" s="83">
        <v>0</v>
      </c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</row>
    <row r="15" spans="1:25" x14ac:dyDescent="0.25">
      <c r="A15" s="102"/>
      <c r="B15" s="71" t="s">
        <v>52</v>
      </c>
      <c r="C15" s="71" t="s">
        <v>53</v>
      </c>
      <c r="D15" s="71" t="s">
        <v>30</v>
      </c>
      <c r="E15" s="86">
        <v>0</v>
      </c>
      <c r="F15" s="83">
        <v>2</v>
      </c>
      <c r="G15" s="83">
        <v>1</v>
      </c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spans="1:25" x14ac:dyDescent="0.25">
      <c r="A16" s="102"/>
      <c r="B16" s="71" t="s">
        <v>54</v>
      </c>
      <c r="C16" s="71" t="s">
        <v>55</v>
      </c>
      <c r="D16" s="71" t="s">
        <v>21</v>
      </c>
      <c r="E16" s="86">
        <v>0</v>
      </c>
      <c r="F16" s="83">
        <v>1</v>
      </c>
      <c r="G16" s="83">
        <v>2</v>
      </c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spans="1:25" ht="15" customHeight="1" x14ac:dyDescent="0.25">
      <c r="A17" s="117" t="s">
        <v>56</v>
      </c>
      <c r="B17" s="72" t="s">
        <v>57</v>
      </c>
      <c r="C17" s="72" t="s">
        <v>58</v>
      </c>
      <c r="D17" s="72" t="s">
        <v>59</v>
      </c>
      <c r="E17" s="86">
        <v>0</v>
      </c>
      <c r="F17" s="83">
        <v>0</v>
      </c>
      <c r="G17" s="83">
        <v>0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 spans="1:25" x14ac:dyDescent="0.25">
      <c r="A18" s="118"/>
      <c r="B18" s="72" t="s">
        <v>60</v>
      </c>
      <c r="C18" s="72" t="s">
        <v>61</v>
      </c>
      <c r="D18" s="72" t="s">
        <v>27</v>
      </c>
      <c r="E18" s="87">
        <v>1</v>
      </c>
      <c r="F18" s="84">
        <v>1</v>
      </c>
      <c r="G18" s="84">
        <v>0.98799999999999999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</row>
    <row r="19" spans="1:25" x14ac:dyDescent="0.25">
      <c r="A19" s="118"/>
      <c r="B19" s="72" t="s">
        <v>62</v>
      </c>
      <c r="C19" s="72" t="s">
        <v>63</v>
      </c>
      <c r="D19" s="72" t="s">
        <v>64</v>
      </c>
      <c r="E19" s="89">
        <v>0</v>
      </c>
      <c r="F19" s="83">
        <v>0</v>
      </c>
      <c r="G19" s="83">
        <v>0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</row>
    <row r="20" spans="1:25" x14ac:dyDescent="0.25">
      <c r="A20" s="118"/>
      <c r="B20" s="72" t="s">
        <v>65</v>
      </c>
      <c r="C20" s="72" t="s">
        <v>66</v>
      </c>
      <c r="D20" s="72" t="s">
        <v>48</v>
      </c>
      <c r="E20" s="89">
        <v>1</v>
      </c>
      <c r="F20" s="85">
        <v>0.94</v>
      </c>
      <c r="G20" s="84">
        <v>1</v>
      </c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</row>
    <row r="21" spans="1:25" x14ac:dyDescent="0.25">
      <c r="D21" s="72" t="s">
        <v>199</v>
      </c>
    </row>
  </sheetData>
  <mergeCells count="4">
    <mergeCell ref="A4:A7"/>
    <mergeCell ref="A13:A16"/>
    <mergeCell ref="A17:A20"/>
    <mergeCell ref="A8:A1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EBAD-49A5-4721-8AD5-5312189F40B8}">
  <dimension ref="A1:Q52"/>
  <sheetViews>
    <sheetView workbookViewId="0">
      <pane xSplit="2" topLeftCell="C1" activePane="topRight" state="frozen"/>
      <selection activeCell="B1" sqref="B1"/>
      <selection pane="topRight" activeCell="A4" sqref="A4"/>
    </sheetView>
  </sheetViews>
  <sheetFormatPr defaultRowHeight="15" x14ac:dyDescent="0.25"/>
  <cols>
    <col min="1" max="1" width="8.140625" bestFit="1" customWidth="1"/>
    <col min="2" max="2" width="44.28515625" customWidth="1"/>
    <col min="3" max="3" width="17.7109375" customWidth="1"/>
    <col min="4" max="4" width="18.5703125" bestFit="1" customWidth="1"/>
    <col min="5" max="6" width="19" bestFit="1" customWidth="1"/>
    <col min="7" max="7" width="18.85546875" bestFit="1" customWidth="1"/>
    <col min="8" max="8" width="17.42578125" bestFit="1" customWidth="1"/>
    <col min="9" max="9" width="18.140625" bestFit="1" customWidth="1"/>
    <col min="10" max="10" width="20.140625" bestFit="1" customWidth="1"/>
    <col min="11" max="11" width="18.85546875" customWidth="1"/>
    <col min="12" max="12" width="18.5703125" bestFit="1" customWidth="1"/>
    <col min="13" max="13" width="18.42578125" bestFit="1" customWidth="1"/>
    <col min="14" max="14" width="24" customWidth="1"/>
    <col min="15" max="15" width="25.42578125" customWidth="1"/>
    <col min="16" max="16" width="12.5703125" bestFit="1" customWidth="1"/>
  </cols>
  <sheetData>
    <row r="1" spans="1:17" ht="19.5" x14ac:dyDescent="0.3">
      <c r="B1" s="53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7" ht="15.75" x14ac:dyDescent="0.25">
      <c r="B2" s="53"/>
    </row>
    <row r="3" spans="1:17" x14ac:dyDescent="0.25">
      <c r="B3" s="54"/>
    </row>
    <row r="4" spans="1:17" ht="17.25" x14ac:dyDescent="0.3">
      <c r="A4" t="s">
        <v>1</v>
      </c>
      <c r="B4" s="55" t="s">
        <v>2</v>
      </c>
      <c r="C4" s="1" t="s">
        <v>78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t="s">
        <v>17</v>
      </c>
    </row>
    <row r="5" spans="1:17" x14ac:dyDescent="0.25">
      <c r="A5" s="113" t="s">
        <v>83</v>
      </c>
      <c r="B5" s="56" t="s">
        <v>200</v>
      </c>
      <c r="C5" s="12" t="s">
        <v>85</v>
      </c>
      <c r="D5" s="9">
        <v>195</v>
      </c>
      <c r="E5" s="9">
        <v>161</v>
      </c>
      <c r="F5" s="9">
        <v>197</v>
      </c>
      <c r="G5" s="9">
        <v>234</v>
      </c>
      <c r="H5" s="9">
        <v>252</v>
      </c>
      <c r="I5" s="9">
        <v>292</v>
      </c>
      <c r="J5" s="9">
        <v>293</v>
      </c>
      <c r="K5" s="9">
        <v>279</v>
      </c>
      <c r="L5" s="9">
        <v>252</v>
      </c>
      <c r="M5" s="9">
        <v>278</v>
      </c>
      <c r="N5" s="9">
        <v>265</v>
      </c>
      <c r="O5" s="9">
        <v>329</v>
      </c>
      <c r="P5">
        <f>AVERAGE(D5:O5)</f>
        <v>252.25</v>
      </c>
    </row>
    <row r="6" spans="1:17" x14ac:dyDescent="0.25">
      <c r="A6" s="114"/>
      <c r="B6" s="57" t="s">
        <v>86</v>
      </c>
      <c r="C6" s="12" t="s">
        <v>201</v>
      </c>
      <c r="D6" s="9" t="s">
        <v>183</v>
      </c>
      <c r="E6" s="9" t="s">
        <v>184</v>
      </c>
      <c r="F6" s="9" t="s">
        <v>185</v>
      </c>
      <c r="G6" s="9" t="s">
        <v>186</v>
      </c>
      <c r="H6" s="9" t="s">
        <v>187</v>
      </c>
      <c r="I6" s="9" t="s">
        <v>202</v>
      </c>
      <c r="J6" s="9" t="s">
        <v>203</v>
      </c>
      <c r="K6" s="9" t="s">
        <v>204</v>
      </c>
      <c r="L6" s="9" t="s">
        <v>205</v>
      </c>
      <c r="M6" s="9" t="s">
        <v>206</v>
      </c>
      <c r="N6" s="9" t="s">
        <v>207</v>
      </c>
      <c r="O6" s="9" t="s">
        <v>208</v>
      </c>
      <c r="P6" t="s">
        <v>209</v>
      </c>
    </row>
    <row r="7" spans="1:17" x14ac:dyDescent="0.25">
      <c r="A7" s="114"/>
      <c r="B7" s="57" t="s">
        <v>210</v>
      </c>
      <c r="C7" s="12" t="s">
        <v>211</v>
      </c>
      <c r="D7" s="36" t="s">
        <v>188</v>
      </c>
      <c r="E7" s="36" t="s">
        <v>189</v>
      </c>
      <c r="F7" s="36" t="s">
        <v>190</v>
      </c>
      <c r="G7" s="36" t="s">
        <v>191</v>
      </c>
      <c r="H7" s="36" t="s">
        <v>192</v>
      </c>
      <c r="I7" s="9" t="s">
        <v>212</v>
      </c>
      <c r="J7" s="9">
        <v>33.47</v>
      </c>
      <c r="K7" s="9">
        <v>32.89</v>
      </c>
      <c r="L7" s="9">
        <v>32.729999999999997</v>
      </c>
      <c r="M7" s="9">
        <v>21.97</v>
      </c>
      <c r="N7" s="9">
        <v>15.78</v>
      </c>
      <c r="O7" s="9">
        <v>28.13</v>
      </c>
      <c r="P7">
        <f t="shared" ref="P7:P23" si="0">AVERAGE(D7:O7)</f>
        <v>27.495000000000001</v>
      </c>
      <c r="Q7" t="s">
        <v>213</v>
      </c>
    </row>
    <row r="8" spans="1:17" x14ac:dyDescent="0.25">
      <c r="A8" s="114"/>
      <c r="B8" s="57" t="s">
        <v>193</v>
      </c>
      <c r="C8" s="17">
        <v>0.9</v>
      </c>
      <c r="D8" s="16">
        <v>0.95</v>
      </c>
      <c r="E8" s="16">
        <v>0.97</v>
      </c>
      <c r="F8" s="10">
        <v>0.98</v>
      </c>
      <c r="G8" s="16">
        <v>0.97</v>
      </c>
      <c r="H8" s="10">
        <v>1</v>
      </c>
      <c r="I8" s="10">
        <v>1</v>
      </c>
      <c r="J8" s="16">
        <v>1</v>
      </c>
      <c r="K8" s="16">
        <v>0.97</v>
      </c>
      <c r="L8" s="48">
        <v>0.98760000000000003</v>
      </c>
      <c r="M8" s="10">
        <f>83/85</f>
        <v>0.97647058823529409</v>
      </c>
      <c r="N8" s="16">
        <v>0.95</v>
      </c>
      <c r="O8" s="48">
        <v>0.98480000000000001</v>
      </c>
      <c r="P8" s="4">
        <f t="shared" si="0"/>
        <v>0.97823921568627448</v>
      </c>
    </row>
    <row r="9" spans="1:17" x14ac:dyDescent="0.25">
      <c r="A9" s="114"/>
      <c r="B9" s="57" t="s">
        <v>114</v>
      </c>
      <c r="C9" s="17">
        <v>0.9</v>
      </c>
      <c r="D9" s="16">
        <v>0.66</v>
      </c>
      <c r="E9" s="16">
        <v>0.65</v>
      </c>
      <c r="F9" s="16">
        <v>0.76</v>
      </c>
      <c r="G9" s="16">
        <v>0.75</v>
      </c>
      <c r="H9" s="16">
        <v>0.8</v>
      </c>
      <c r="I9" s="16">
        <v>0.77</v>
      </c>
      <c r="J9" s="10">
        <v>0.56000000000000005</v>
      </c>
      <c r="K9" s="16">
        <v>0.64</v>
      </c>
      <c r="L9" s="16">
        <v>0.74</v>
      </c>
      <c r="M9" s="16">
        <v>0.72</v>
      </c>
      <c r="N9" s="16">
        <v>0.98</v>
      </c>
      <c r="O9" s="16">
        <v>0.95</v>
      </c>
      <c r="P9" s="5">
        <f t="shared" si="0"/>
        <v>0.74833333333333341</v>
      </c>
    </row>
    <row r="10" spans="1:17" x14ac:dyDescent="0.25">
      <c r="A10" s="115"/>
      <c r="B10" s="57" t="s">
        <v>115</v>
      </c>
      <c r="C10" s="17">
        <v>0.9</v>
      </c>
      <c r="D10" s="16">
        <v>0.15</v>
      </c>
      <c r="E10" s="16">
        <v>0.92759999999999998</v>
      </c>
      <c r="F10" s="16">
        <v>0.8861</v>
      </c>
      <c r="G10" s="16">
        <v>0.93479999999999996</v>
      </c>
      <c r="H10" s="16">
        <v>0.88</v>
      </c>
      <c r="I10" s="16">
        <v>0.75</v>
      </c>
      <c r="J10" s="10">
        <v>0.54</v>
      </c>
      <c r="K10" s="16">
        <v>0.62</v>
      </c>
      <c r="L10" s="16">
        <v>0.72</v>
      </c>
      <c r="M10" s="16">
        <v>0.69</v>
      </c>
      <c r="N10" s="16">
        <v>0.96</v>
      </c>
      <c r="O10" s="16">
        <v>0.91</v>
      </c>
      <c r="P10" s="5">
        <f t="shared" si="0"/>
        <v>0.7473749999999999</v>
      </c>
    </row>
    <row r="11" spans="1:17" x14ac:dyDescent="0.25">
      <c r="A11" s="27"/>
      <c r="B11" s="57" t="s">
        <v>194</v>
      </c>
      <c r="C11" s="17" t="s">
        <v>214</v>
      </c>
      <c r="D11" s="22">
        <v>161</v>
      </c>
      <c r="E11" s="30">
        <v>100.75</v>
      </c>
      <c r="F11" s="30">
        <v>130</v>
      </c>
      <c r="G11" s="28">
        <v>103.38</v>
      </c>
      <c r="H11" s="28">
        <v>119.23</v>
      </c>
      <c r="I11" s="28">
        <v>142.68</v>
      </c>
      <c r="J11" s="29">
        <v>119.19</v>
      </c>
      <c r="K11" s="28">
        <v>102.64</v>
      </c>
      <c r="L11" s="28">
        <v>118.64</v>
      </c>
      <c r="M11" s="28">
        <v>97.59</v>
      </c>
      <c r="N11" s="28">
        <v>103.75</v>
      </c>
      <c r="O11" s="28">
        <v>127.94</v>
      </c>
      <c r="P11" s="61">
        <f t="shared" si="0"/>
        <v>118.89916666666666</v>
      </c>
    </row>
    <row r="12" spans="1:17" x14ac:dyDescent="0.25">
      <c r="A12" s="108" t="s">
        <v>116</v>
      </c>
      <c r="B12" s="58" t="s">
        <v>117</v>
      </c>
      <c r="C12" s="18">
        <v>1</v>
      </c>
      <c r="D12" s="5">
        <v>1</v>
      </c>
      <c r="E12" s="10">
        <v>0.99</v>
      </c>
      <c r="F12" s="10">
        <v>1</v>
      </c>
      <c r="G12" s="10">
        <v>0.9</v>
      </c>
      <c r="H12" s="10">
        <v>0.97</v>
      </c>
      <c r="I12" s="10">
        <v>0.95</v>
      </c>
      <c r="J12" s="10">
        <v>0.999</v>
      </c>
      <c r="K12" s="10">
        <v>0.99819999999999998</v>
      </c>
      <c r="L12" s="10">
        <v>0.99</v>
      </c>
      <c r="M12" s="10">
        <v>0.99</v>
      </c>
      <c r="N12" s="10">
        <v>1</v>
      </c>
      <c r="O12" s="10">
        <v>0.95</v>
      </c>
      <c r="P12" s="5">
        <f t="shared" si="0"/>
        <v>0.97809999999999997</v>
      </c>
    </row>
    <row r="13" spans="1:17" x14ac:dyDescent="0.25">
      <c r="A13" s="108"/>
      <c r="B13" s="58" t="s">
        <v>118</v>
      </c>
      <c r="C13" s="18">
        <v>1</v>
      </c>
      <c r="D13" s="10">
        <v>0.99170000000000003</v>
      </c>
      <c r="E13" s="10">
        <v>0.99</v>
      </c>
      <c r="F13" s="10">
        <v>1</v>
      </c>
      <c r="G13" s="10">
        <v>0.99</v>
      </c>
      <c r="H13" s="10">
        <v>1</v>
      </c>
      <c r="I13" s="10">
        <v>0.95830000000000004</v>
      </c>
      <c r="J13" s="10">
        <v>0.95</v>
      </c>
      <c r="K13" s="10">
        <v>0.99</v>
      </c>
      <c r="L13" s="10">
        <v>0.99</v>
      </c>
      <c r="M13" s="10">
        <v>0.93</v>
      </c>
      <c r="N13" s="10">
        <v>0.86670000000000003</v>
      </c>
      <c r="O13" s="10">
        <v>0.98</v>
      </c>
      <c r="P13" s="5">
        <f>AVERAGE(D13:O13)</f>
        <v>0.96972500000000006</v>
      </c>
    </row>
    <row r="14" spans="1:17" x14ac:dyDescent="0.25">
      <c r="A14" s="110" t="s">
        <v>119</v>
      </c>
      <c r="B14" s="59" t="s">
        <v>215</v>
      </c>
      <c r="C14" s="19">
        <v>1</v>
      </c>
      <c r="D14" s="10">
        <v>1</v>
      </c>
      <c r="E14" s="10">
        <v>0.99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0.99</v>
      </c>
      <c r="M14" s="10">
        <v>0.99</v>
      </c>
      <c r="N14" s="10">
        <v>1</v>
      </c>
      <c r="O14" s="10">
        <v>1</v>
      </c>
      <c r="P14" s="5">
        <f t="shared" si="0"/>
        <v>0.99750000000000005</v>
      </c>
    </row>
    <row r="15" spans="1:17" x14ac:dyDescent="0.25">
      <c r="A15" s="111"/>
      <c r="B15" s="59" t="s">
        <v>123</v>
      </c>
      <c r="C15" s="19">
        <v>1</v>
      </c>
      <c r="D15" s="52" t="s">
        <v>216</v>
      </c>
      <c r="E15" s="50"/>
      <c r="F15" s="51"/>
      <c r="G15" s="52" t="s">
        <v>217</v>
      </c>
      <c r="H15" s="50"/>
      <c r="I15" s="51"/>
      <c r="J15" s="52" t="s">
        <v>218</v>
      </c>
      <c r="K15" s="50"/>
      <c r="L15" s="51"/>
      <c r="M15" s="119" t="s">
        <v>219</v>
      </c>
      <c r="N15" s="120"/>
      <c r="O15" s="121"/>
      <c r="P15" s="5"/>
    </row>
    <row r="16" spans="1:17" x14ac:dyDescent="0.25">
      <c r="A16" s="111"/>
      <c r="B16" s="59" t="s">
        <v>124</v>
      </c>
      <c r="C16" s="14" t="s">
        <v>125</v>
      </c>
      <c r="D16" s="10">
        <v>1.4999999999999999E-2</v>
      </c>
      <c r="E16" s="10">
        <v>0.02</v>
      </c>
      <c r="F16" s="10">
        <v>0.06</v>
      </c>
      <c r="G16" s="10">
        <v>0</v>
      </c>
      <c r="H16" s="10">
        <v>0</v>
      </c>
      <c r="I16" s="10">
        <v>7.4999999999999997E-2</v>
      </c>
      <c r="J16" s="10">
        <v>0.03</v>
      </c>
      <c r="K16" s="10">
        <v>0.03</v>
      </c>
      <c r="L16" s="10">
        <v>0</v>
      </c>
      <c r="M16" s="10">
        <v>3.3000000000000002E-2</v>
      </c>
      <c r="N16" s="10">
        <v>0.01</v>
      </c>
      <c r="O16" s="10">
        <v>0.02</v>
      </c>
      <c r="P16" s="5">
        <f t="shared" si="0"/>
        <v>2.441666666666667E-2</v>
      </c>
    </row>
    <row r="17" spans="1:17" x14ac:dyDescent="0.25">
      <c r="A17" s="111"/>
      <c r="B17" s="59" t="s">
        <v>126</v>
      </c>
      <c r="C17" s="14" t="s">
        <v>127</v>
      </c>
      <c r="D17" s="11">
        <v>1</v>
      </c>
      <c r="E17" s="11">
        <v>1</v>
      </c>
      <c r="F17" s="11">
        <v>5</v>
      </c>
      <c r="G17" s="11">
        <v>0</v>
      </c>
      <c r="H17" s="11">
        <v>0</v>
      </c>
      <c r="I17" s="11">
        <v>6</v>
      </c>
      <c r="J17" s="11">
        <v>3</v>
      </c>
      <c r="K17" s="11">
        <v>3</v>
      </c>
      <c r="L17" s="11">
        <v>0</v>
      </c>
      <c r="M17" s="11">
        <v>3</v>
      </c>
      <c r="N17" s="11">
        <v>1</v>
      </c>
      <c r="O17" s="11">
        <v>2</v>
      </c>
      <c r="P17" s="22">
        <f t="shared" si="0"/>
        <v>2.0833333333333335</v>
      </c>
    </row>
    <row r="18" spans="1:17" x14ac:dyDescent="0.25">
      <c r="A18" s="111"/>
      <c r="B18" s="59" t="s">
        <v>220</v>
      </c>
      <c r="C18" s="14" t="s">
        <v>129</v>
      </c>
      <c r="D18" s="11">
        <v>182</v>
      </c>
      <c r="E18" s="11">
        <v>205</v>
      </c>
      <c r="F18" s="11">
        <v>140</v>
      </c>
      <c r="G18" s="11">
        <v>113</v>
      </c>
      <c r="H18" s="11">
        <v>218</v>
      </c>
      <c r="I18" s="11">
        <v>232</v>
      </c>
      <c r="J18" s="11">
        <v>257</v>
      </c>
      <c r="K18" s="11">
        <v>344</v>
      </c>
      <c r="L18" s="11">
        <v>195</v>
      </c>
      <c r="M18" s="11">
        <v>191.1</v>
      </c>
      <c r="N18" s="11">
        <v>241</v>
      </c>
      <c r="O18" s="11">
        <v>490</v>
      </c>
      <c r="P18" s="22">
        <f t="shared" si="0"/>
        <v>234.00833333333333</v>
      </c>
    </row>
    <row r="19" spans="1:17" x14ac:dyDescent="0.25">
      <c r="A19" s="111"/>
      <c r="B19" s="59" t="s">
        <v>130</v>
      </c>
      <c r="C19" s="14" t="s">
        <v>131</v>
      </c>
      <c r="D19" s="11">
        <v>16</v>
      </c>
      <c r="E19" s="11">
        <v>18</v>
      </c>
      <c r="F19" s="11">
        <v>15</v>
      </c>
      <c r="G19" s="11">
        <v>9</v>
      </c>
      <c r="H19" s="11">
        <v>8</v>
      </c>
      <c r="I19" s="11">
        <v>16</v>
      </c>
      <c r="J19" s="11">
        <v>8</v>
      </c>
      <c r="K19" s="11">
        <v>20</v>
      </c>
      <c r="L19" s="11">
        <v>10</v>
      </c>
      <c r="M19" s="11">
        <v>10</v>
      </c>
      <c r="N19" s="11">
        <v>16</v>
      </c>
      <c r="O19" s="11">
        <v>8</v>
      </c>
      <c r="P19" s="22">
        <f t="shared" si="0"/>
        <v>12.833333333333334</v>
      </c>
    </row>
    <row r="20" spans="1:17" x14ac:dyDescent="0.25">
      <c r="A20" s="112"/>
      <c r="B20" s="59" t="s">
        <v>132</v>
      </c>
      <c r="C20" s="14" t="s">
        <v>133</v>
      </c>
      <c r="D20" s="11">
        <v>5</v>
      </c>
      <c r="E20" s="11">
        <v>7</v>
      </c>
      <c r="F20" s="11">
        <v>2</v>
      </c>
      <c r="G20" s="11">
        <v>1</v>
      </c>
      <c r="H20" s="11">
        <v>1</v>
      </c>
      <c r="I20" s="11">
        <v>3</v>
      </c>
      <c r="J20" s="11">
        <v>0</v>
      </c>
      <c r="K20" s="11">
        <v>2</v>
      </c>
      <c r="L20" s="11">
        <v>1</v>
      </c>
      <c r="M20" s="11">
        <v>0</v>
      </c>
      <c r="N20" s="11">
        <v>1</v>
      </c>
      <c r="O20" s="11">
        <v>1</v>
      </c>
      <c r="P20" s="22">
        <f t="shared" si="0"/>
        <v>2</v>
      </c>
    </row>
    <row r="21" spans="1:17" x14ac:dyDescent="0.25">
      <c r="A21" s="109" t="s">
        <v>134</v>
      </c>
      <c r="B21" s="60" t="s">
        <v>135</v>
      </c>
      <c r="C21" s="15" t="s">
        <v>136</v>
      </c>
      <c r="D21" s="11">
        <v>9467</v>
      </c>
      <c r="E21" s="11">
        <v>10017</v>
      </c>
      <c r="F21" s="11">
        <v>10440</v>
      </c>
      <c r="G21" s="11">
        <v>9240</v>
      </c>
      <c r="H21" s="11">
        <v>9095</v>
      </c>
      <c r="I21" s="11">
        <v>9533</v>
      </c>
      <c r="J21" s="11">
        <v>10336</v>
      </c>
      <c r="K21" s="11">
        <v>10382</v>
      </c>
      <c r="L21" s="11">
        <v>11676</v>
      </c>
      <c r="M21" s="11">
        <v>11355</v>
      </c>
      <c r="N21" s="11">
        <v>10209</v>
      </c>
      <c r="O21" s="11">
        <v>8756</v>
      </c>
      <c r="P21" s="22">
        <f t="shared" si="0"/>
        <v>10042.166666666666</v>
      </c>
      <c r="Q21" s="6"/>
    </row>
    <row r="22" spans="1:17" x14ac:dyDescent="0.25">
      <c r="A22" s="109"/>
      <c r="B22" s="60" t="s">
        <v>137</v>
      </c>
      <c r="C22" s="15" t="s">
        <v>138</v>
      </c>
      <c r="D22" s="11">
        <v>12819</v>
      </c>
      <c r="E22" s="11">
        <v>13845</v>
      </c>
      <c r="F22" s="11">
        <v>13904</v>
      </c>
      <c r="G22" s="11">
        <v>12262</v>
      </c>
      <c r="H22" s="11">
        <v>12240</v>
      </c>
      <c r="I22" s="11">
        <v>12865</v>
      </c>
      <c r="J22" s="11">
        <v>13748</v>
      </c>
      <c r="K22" s="11">
        <v>13692</v>
      </c>
      <c r="L22" s="11">
        <v>15328</v>
      </c>
      <c r="M22" s="11">
        <v>15263</v>
      </c>
      <c r="N22" s="11">
        <v>13688</v>
      </c>
      <c r="O22" s="11">
        <v>9991</v>
      </c>
      <c r="P22" s="22">
        <f t="shared" si="0"/>
        <v>13303.75</v>
      </c>
      <c r="Q22" s="6"/>
    </row>
    <row r="23" spans="1:17" x14ac:dyDescent="0.25">
      <c r="A23" s="109"/>
      <c r="B23" s="60" t="s">
        <v>139</v>
      </c>
      <c r="C23" s="15" t="s">
        <v>140</v>
      </c>
      <c r="D23" s="11">
        <v>87411</v>
      </c>
      <c r="E23" s="11">
        <v>92832</v>
      </c>
      <c r="F23" s="11">
        <v>88607</v>
      </c>
      <c r="G23" s="11">
        <v>82583</v>
      </c>
      <c r="H23" s="11">
        <v>83560</v>
      </c>
      <c r="I23" s="11">
        <v>85819</v>
      </c>
      <c r="J23" s="11">
        <v>90655</v>
      </c>
      <c r="K23" s="11">
        <v>93761</v>
      </c>
      <c r="L23" s="11">
        <v>100647</v>
      </c>
      <c r="M23" s="11">
        <v>100262</v>
      </c>
      <c r="N23" s="11">
        <v>95843</v>
      </c>
      <c r="O23" s="11">
        <v>78648</v>
      </c>
      <c r="P23" s="22">
        <f t="shared" si="0"/>
        <v>90052.333333333328</v>
      </c>
      <c r="Q23" s="6"/>
    </row>
    <row r="24" spans="1:17" ht="15.75" x14ac:dyDescent="0.25">
      <c r="B24" s="53"/>
    </row>
    <row r="25" spans="1:17" ht="15.75" x14ac:dyDescent="0.25">
      <c r="B25" s="53"/>
      <c r="E25" t="s">
        <v>68</v>
      </c>
      <c r="F25" t="s">
        <v>68</v>
      </c>
      <c r="G25" t="s">
        <v>68</v>
      </c>
      <c r="H25" t="s">
        <v>68</v>
      </c>
      <c r="I25" t="s">
        <v>68</v>
      </c>
      <c r="J25" t="s">
        <v>68</v>
      </c>
      <c r="K25" t="s">
        <v>68</v>
      </c>
      <c r="L25" t="s">
        <v>68</v>
      </c>
      <c r="M25" t="s">
        <v>68</v>
      </c>
      <c r="N25" t="s">
        <v>68</v>
      </c>
      <c r="O25" t="s">
        <v>68</v>
      </c>
    </row>
    <row r="26" spans="1:17" ht="15.75" x14ac:dyDescent="0.25">
      <c r="B26" s="53"/>
      <c r="I26" t="s">
        <v>221</v>
      </c>
      <c r="J26" t="s">
        <v>222</v>
      </c>
      <c r="K26" t="s">
        <v>223</v>
      </c>
      <c r="L26" t="s">
        <v>224</v>
      </c>
      <c r="M26" t="s">
        <v>225</v>
      </c>
      <c r="N26" t="s">
        <v>226</v>
      </c>
      <c r="O26" s="62" t="s">
        <v>227</v>
      </c>
    </row>
    <row r="27" spans="1:17" x14ac:dyDescent="0.25">
      <c r="N27" t="s">
        <v>228</v>
      </c>
      <c r="O27" s="62" t="s">
        <v>229</v>
      </c>
    </row>
    <row r="28" spans="1:17" x14ac:dyDescent="0.25">
      <c r="N28" t="s">
        <v>230</v>
      </c>
      <c r="O28" s="62" t="s">
        <v>231</v>
      </c>
    </row>
    <row r="29" spans="1:17" x14ac:dyDescent="0.25">
      <c r="N29" t="s">
        <v>232</v>
      </c>
      <c r="O29" s="62" t="s">
        <v>233</v>
      </c>
    </row>
    <row r="30" spans="1:17" x14ac:dyDescent="0.25">
      <c r="B30" s="21" t="s">
        <v>69</v>
      </c>
      <c r="C30" s="21" t="s">
        <v>142</v>
      </c>
      <c r="N30" t="s">
        <v>234</v>
      </c>
      <c r="O30" s="62" t="s">
        <v>235</v>
      </c>
    </row>
    <row r="31" spans="1:17" x14ac:dyDescent="0.25">
      <c r="B31" t="s">
        <v>236</v>
      </c>
      <c r="C31" s="20">
        <v>3</v>
      </c>
      <c r="N31" t="s">
        <v>237</v>
      </c>
      <c r="O31" s="62" t="s">
        <v>238</v>
      </c>
    </row>
    <row r="32" spans="1:17" x14ac:dyDescent="0.25">
      <c r="B32" t="s">
        <v>239</v>
      </c>
      <c r="C32">
        <v>1</v>
      </c>
      <c r="N32" t="s">
        <v>240</v>
      </c>
      <c r="O32" s="62" t="s">
        <v>241</v>
      </c>
    </row>
    <row r="33" spans="2:15" x14ac:dyDescent="0.25">
      <c r="B33" t="s">
        <v>242</v>
      </c>
      <c r="C33">
        <v>1</v>
      </c>
      <c r="N33" t="s">
        <v>243</v>
      </c>
      <c r="O33" s="62" t="s">
        <v>244</v>
      </c>
    </row>
    <row r="34" spans="2:15" x14ac:dyDescent="0.25">
      <c r="B34" t="s">
        <v>245</v>
      </c>
      <c r="C34">
        <v>1</v>
      </c>
      <c r="N34" t="s">
        <v>246</v>
      </c>
      <c r="O34" s="62" t="s">
        <v>247</v>
      </c>
    </row>
    <row r="35" spans="2:15" x14ac:dyDescent="0.25">
      <c r="B35" t="s">
        <v>248</v>
      </c>
      <c r="C35" s="20">
        <v>2</v>
      </c>
      <c r="O35" s="62" t="s">
        <v>249</v>
      </c>
    </row>
    <row r="36" spans="2:15" x14ac:dyDescent="0.25">
      <c r="B36" t="s">
        <v>250</v>
      </c>
      <c r="C36">
        <v>1</v>
      </c>
      <c r="O36" s="62" t="s">
        <v>251</v>
      </c>
    </row>
    <row r="37" spans="2:15" x14ac:dyDescent="0.25">
      <c r="B37" t="s">
        <v>252</v>
      </c>
      <c r="C37">
        <v>1</v>
      </c>
      <c r="O37" s="62" t="s">
        <v>253</v>
      </c>
    </row>
    <row r="38" spans="2:15" x14ac:dyDescent="0.25">
      <c r="B38" t="s">
        <v>254</v>
      </c>
      <c r="C38">
        <v>1</v>
      </c>
    </row>
    <row r="39" spans="2:15" x14ac:dyDescent="0.25">
      <c r="B39" t="s">
        <v>255</v>
      </c>
      <c r="C39" s="20">
        <v>3</v>
      </c>
    </row>
    <row r="40" spans="2:15" x14ac:dyDescent="0.25">
      <c r="B40" t="s">
        <v>256</v>
      </c>
      <c r="C40" s="20">
        <v>2</v>
      </c>
    </row>
    <row r="41" spans="2:15" x14ac:dyDescent="0.25">
      <c r="B41" t="s">
        <v>171</v>
      </c>
      <c r="C41">
        <v>1</v>
      </c>
    </row>
    <row r="42" spans="2:15" x14ac:dyDescent="0.25">
      <c r="B42" t="s">
        <v>257</v>
      </c>
      <c r="C42">
        <v>1</v>
      </c>
    </row>
    <row r="43" spans="2:15" x14ac:dyDescent="0.25">
      <c r="B43" t="s">
        <v>258</v>
      </c>
      <c r="C43">
        <v>1</v>
      </c>
    </row>
    <row r="44" spans="2:15" x14ac:dyDescent="0.25">
      <c r="B44" t="s">
        <v>259</v>
      </c>
      <c r="C44">
        <v>1</v>
      </c>
    </row>
    <row r="45" spans="2:15" x14ac:dyDescent="0.25">
      <c r="B45" t="s">
        <v>260</v>
      </c>
      <c r="C45">
        <v>1</v>
      </c>
    </row>
    <row r="46" spans="2:15" x14ac:dyDescent="0.25">
      <c r="B46" t="s">
        <v>261</v>
      </c>
      <c r="C46">
        <v>1</v>
      </c>
    </row>
    <row r="47" spans="2:15" x14ac:dyDescent="0.25">
      <c r="B47" t="s">
        <v>262</v>
      </c>
      <c r="C47">
        <v>1</v>
      </c>
    </row>
    <row r="48" spans="2:15" x14ac:dyDescent="0.25">
      <c r="B48" t="s">
        <v>263</v>
      </c>
      <c r="C48">
        <v>1</v>
      </c>
    </row>
    <row r="49" spans="2:3" x14ac:dyDescent="0.25">
      <c r="B49" t="s">
        <v>146</v>
      </c>
      <c r="C49">
        <v>1</v>
      </c>
    </row>
    <row r="50" spans="2:3" x14ac:dyDescent="0.25">
      <c r="B50" t="s">
        <v>264</v>
      </c>
      <c r="C50">
        <v>1</v>
      </c>
    </row>
    <row r="51" spans="2:3" x14ac:dyDescent="0.25">
      <c r="B51" t="s">
        <v>265</v>
      </c>
      <c r="C51">
        <v>1</v>
      </c>
    </row>
    <row r="52" spans="2:3" x14ac:dyDescent="0.25">
      <c r="B52" t="s">
        <v>266</v>
      </c>
      <c r="C52">
        <v>1</v>
      </c>
    </row>
  </sheetData>
  <mergeCells count="5">
    <mergeCell ref="A5:A10"/>
    <mergeCell ref="A12:A13"/>
    <mergeCell ref="A14:A20"/>
    <mergeCell ref="A21:A23"/>
    <mergeCell ref="M15:O1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D9AB-60ED-4118-BC21-11E8AA309F0F}">
  <dimension ref="A1:BE21"/>
  <sheetViews>
    <sheetView topLeftCell="A3" zoomScale="140" zoomScaleNormal="140" workbookViewId="0">
      <pane xSplit="3" topLeftCell="BB1" activePane="topRight" state="frozen"/>
      <selection pane="topRight" activeCell="B13" sqref="B9:B13"/>
    </sheetView>
  </sheetViews>
  <sheetFormatPr defaultRowHeight="15" x14ac:dyDescent="0.25"/>
  <cols>
    <col min="1" max="1" width="12.85546875" customWidth="1"/>
    <col min="2" max="2" width="59.42578125" bestFit="1" customWidth="1"/>
    <col min="3" max="3" width="13.5703125" customWidth="1"/>
    <col min="4" max="6" width="18.140625" hidden="1" customWidth="1"/>
    <col min="7" max="8" width="19.140625" hidden="1" customWidth="1"/>
    <col min="9" max="10" width="18.140625" hidden="1" customWidth="1"/>
    <col min="11" max="11" width="18" hidden="1" customWidth="1"/>
    <col min="12" max="12" width="17.140625" hidden="1" customWidth="1"/>
    <col min="13" max="13" width="18.5703125" hidden="1" customWidth="1"/>
    <col min="14" max="14" width="17.140625" hidden="1" customWidth="1"/>
    <col min="15" max="16" width="18.140625" hidden="1" customWidth="1"/>
    <col min="17" max="17" width="18.5703125" hidden="1" customWidth="1"/>
    <col min="18" max="18" width="19.85546875" hidden="1" customWidth="1"/>
    <col min="19" max="19" width="23.140625" hidden="1" customWidth="1"/>
    <col min="20" max="20" width="20.140625" hidden="1" customWidth="1"/>
    <col min="21" max="21" width="18.85546875" hidden="1" customWidth="1"/>
    <col min="22" max="22" width="19.140625" hidden="1" customWidth="1"/>
    <col min="23" max="23" width="19.42578125" hidden="1" customWidth="1"/>
    <col min="24" max="24" width="22" hidden="1" customWidth="1"/>
    <col min="25" max="25" width="20.85546875" hidden="1" customWidth="1"/>
    <col min="26" max="26" width="20.140625" hidden="1" customWidth="1"/>
    <col min="27" max="27" width="20.42578125" hidden="1" customWidth="1"/>
    <col min="28" max="29" width="18.140625" hidden="1" customWidth="1"/>
    <col min="30" max="30" width="19.7109375" hidden="1" customWidth="1"/>
    <col min="31" max="32" width="20.42578125" hidden="1" customWidth="1"/>
    <col min="33" max="33" width="21" hidden="1" customWidth="1"/>
    <col min="34" max="34" width="20.28515625" hidden="1" customWidth="1"/>
    <col min="35" max="35" width="19.7109375" hidden="1" customWidth="1"/>
    <col min="36" max="36" width="19.85546875" hidden="1" customWidth="1"/>
    <col min="37" max="37" width="21.5703125" hidden="1" customWidth="1"/>
    <col min="38" max="40" width="19.140625" hidden="1" customWidth="1"/>
    <col min="41" max="42" width="19.28515625" hidden="1" customWidth="1"/>
    <col min="43" max="43" width="20.42578125" hidden="1" customWidth="1"/>
    <col min="44" max="44" width="19.140625" hidden="1" customWidth="1"/>
    <col min="45" max="45" width="19.85546875" hidden="1" customWidth="1"/>
    <col min="46" max="48" width="20.28515625" hidden="1" customWidth="1"/>
    <col min="49" max="49" width="18.28515625" hidden="1" customWidth="1"/>
    <col min="50" max="50" width="21.5703125" hidden="1" customWidth="1"/>
    <col min="51" max="51" width="29.7109375" hidden="1" customWidth="1"/>
    <col min="52" max="53" width="34.85546875" hidden="1" customWidth="1"/>
    <col min="54" max="56" width="34.85546875" customWidth="1"/>
  </cols>
  <sheetData>
    <row r="1" spans="1:57" ht="19.5" x14ac:dyDescent="0.3">
      <c r="B1" s="107" t="s">
        <v>267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32"/>
    </row>
    <row r="3" spans="1:57" x14ac:dyDescent="0.25">
      <c r="B3" t="s">
        <v>268</v>
      </c>
      <c r="D3" s="122" t="s">
        <v>269</v>
      </c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33"/>
    </row>
    <row r="4" spans="1:57" ht="34.5" x14ac:dyDescent="0.3">
      <c r="B4" s="1" t="s">
        <v>2</v>
      </c>
      <c r="C4" s="35" t="s">
        <v>270</v>
      </c>
      <c r="D4" s="23">
        <v>45663</v>
      </c>
      <c r="E4" s="23">
        <v>45670</v>
      </c>
      <c r="F4" s="23">
        <v>45677</v>
      </c>
      <c r="G4" s="23">
        <v>45684</v>
      </c>
      <c r="H4" s="23">
        <v>45691</v>
      </c>
      <c r="I4" s="23">
        <v>45698</v>
      </c>
      <c r="J4" s="23">
        <v>45705</v>
      </c>
      <c r="K4" s="23">
        <v>45712</v>
      </c>
      <c r="L4" s="23">
        <v>45719</v>
      </c>
      <c r="M4" s="23">
        <v>45726</v>
      </c>
      <c r="N4" s="23">
        <v>45733</v>
      </c>
      <c r="O4" s="23">
        <v>45740</v>
      </c>
      <c r="P4" s="23">
        <v>45747</v>
      </c>
      <c r="Q4" s="23">
        <v>45754</v>
      </c>
      <c r="R4" s="23">
        <v>45761</v>
      </c>
      <c r="S4" s="23">
        <v>45768</v>
      </c>
      <c r="T4" s="23">
        <v>45775</v>
      </c>
      <c r="U4" s="23">
        <v>45782</v>
      </c>
      <c r="V4" s="23">
        <v>45789</v>
      </c>
      <c r="W4" s="23">
        <v>45796</v>
      </c>
      <c r="X4" s="23">
        <v>45803</v>
      </c>
      <c r="Y4" s="23">
        <v>45810</v>
      </c>
      <c r="Z4" s="23">
        <v>45817</v>
      </c>
      <c r="AA4" s="37">
        <v>45824</v>
      </c>
      <c r="AB4" s="37">
        <v>45831</v>
      </c>
      <c r="AC4" s="37">
        <v>45838</v>
      </c>
      <c r="AD4" s="37">
        <v>45845</v>
      </c>
      <c r="AE4" s="37">
        <v>45852</v>
      </c>
      <c r="AF4" s="23">
        <v>45859</v>
      </c>
      <c r="AG4" s="23">
        <v>45866</v>
      </c>
      <c r="AH4" s="23">
        <v>45873</v>
      </c>
      <c r="AI4" s="23">
        <v>45880</v>
      </c>
      <c r="AJ4" s="23">
        <v>45887</v>
      </c>
      <c r="AK4" s="23">
        <v>45894</v>
      </c>
      <c r="AL4" s="23">
        <v>45901</v>
      </c>
      <c r="AM4" s="23">
        <v>45908</v>
      </c>
      <c r="AN4" s="23">
        <v>45915</v>
      </c>
      <c r="AO4" s="23">
        <v>45922</v>
      </c>
      <c r="AP4" s="23">
        <v>45929</v>
      </c>
      <c r="AQ4" s="23">
        <v>45936</v>
      </c>
      <c r="AR4" s="23">
        <v>45943</v>
      </c>
      <c r="AS4" s="23">
        <v>45950</v>
      </c>
      <c r="AT4" s="23">
        <v>45957</v>
      </c>
      <c r="AU4" s="23">
        <v>45964</v>
      </c>
      <c r="AV4" s="23">
        <v>45971</v>
      </c>
      <c r="AW4" s="23">
        <v>45978</v>
      </c>
      <c r="AX4" s="23">
        <v>45985</v>
      </c>
      <c r="AY4" s="23">
        <v>45992</v>
      </c>
      <c r="AZ4" s="23">
        <v>45999</v>
      </c>
      <c r="BA4" s="23">
        <v>46006</v>
      </c>
      <c r="BB4" s="23">
        <v>46020</v>
      </c>
      <c r="BC4" s="23">
        <v>46027</v>
      </c>
      <c r="BD4" s="23">
        <v>46034</v>
      </c>
      <c r="BE4" s="23" t="s">
        <v>271</v>
      </c>
    </row>
    <row r="5" spans="1:57" x14ac:dyDescent="0.25">
      <c r="A5" s="113" t="s">
        <v>83</v>
      </c>
      <c r="B5" s="12" t="s">
        <v>272</v>
      </c>
      <c r="C5" s="12">
        <v>50</v>
      </c>
      <c r="D5" s="9">
        <v>46</v>
      </c>
      <c r="E5" s="9">
        <v>54</v>
      </c>
      <c r="F5" s="9">
        <v>42</v>
      </c>
      <c r="G5" s="9">
        <v>36</v>
      </c>
      <c r="H5" s="9">
        <v>35</v>
      </c>
      <c r="I5" s="9">
        <v>40</v>
      </c>
      <c r="J5" s="9">
        <v>29</v>
      </c>
      <c r="K5" s="9">
        <v>50</v>
      </c>
      <c r="L5" s="9">
        <v>34</v>
      </c>
      <c r="M5" s="9">
        <v>53</v>
      </c>
      <c r="N5" s="9">
        <v>45</v>
      </c>
      <c r="O5" s="9">
        <v>53</v>
      </c>
      <c r="P5" s="9">
        <v>55</v>
      </c>
      <c r="Q5" s="9">
        <v>58</v>
      </c>
      <c r="R5" s="9">
        <v>47</v>
      </c>
      <c r="S5" s="9">
        <v>51</v>
      </c>
      <c r="T5" s="9">
        <v>35</v>
      </c>
      <c r="U5" s="9">
        <v>50</v>
      </c>
      <c r="V5" s="9">
        <v>54</v>
      </c>
      <c r="W5" s="9">
        <v>52</v>
      </c>
      <c r="X5" s="9">
        <v>64</v>
      </c>
      <c r="Y5" s="9">
        <v>84</v>
      </c>
      <c r="Z5" s="9">
        <v>73</v>
      </c>
      <c r="AA5" s="38">
        <v>61</v>
      </c>
      <c r="AB5" s="38">
        <v>59</v>
      </c>
      <c r="AC5">
        <v>53</v>
      </c>
      <c r="AD5">
        <v>79</v>
      </c>
      <c r="AE5">
        <v>50</v>
      </c>
      <c r="AF5" s="9">
        <v>66</v>
      </c>
      <c r="AG5" s="9">
        <v>70</v>
      </c>
      <c r="AH5" s="9">
        <v>86</v>
      </c>
      <c r="AI5" s="9">
        <v>54</v>
      </c>
      <c r="AJ5" s="9">
        <v>61</v>
      </c>
      <c r="AK5" s="9">
        <v>59</v>
      </c>
      <c r="AL5" s="9">
        <v>62</v>
      </c>
      <c r="AM5" s="9">
        <v>55</v>
      </c>
      <c r="AN5" s="9">
        <v>58</v>
      </c>
      <c r="AO5" s="9">
        <v>54</v>
      </c>
      <c r="AP5" s="9">
        <v>50</v>
      </c>
      <c r="AQ5" s="9">
        <v>65</v>
      </c>
      <c r="AR5" s="9">
        <v>61</v>
      </c>
      <c r="AS5" s="9">
        <v>54</v>
      </c>
      <c r="AT5" s="9">
        <v>69</v>
      </c>
      <c r="AU5" s="9">
        <v>45</v>
      </c>
      <c r="AV5" s="9">
        <v>63</v>
      </c>
      <c r="AW5" s="9">
        <v>61</v>
      </c>
      <c r="AX5" s="9">
        <v>52</v>
      </c>
      <c r="AY5" s="9">
        <v>88</v>
      </c>
      <c r="AZ5" s="9">
        <v>63</v>
      </c>
      <c r="BA5" s="9">
        <v>61</v>
      </c>
      <c r="BB5" s="9">
        <v>17</v>
      </c>
      <c r="BC5" s="9"/>
      <c r="BD5" s="9"/>
      <c r="BE5" s="9">
        <f>AVERAGE(D5:AZ5)</f>
        <v>55.877551020408163</v>
      </c>
    </row>
    <row r="6" spans="1:57" x14ac:dyDescent="0.25">
      <c r="A6" s="114"/>
      <c r="B6" s="12" t="s">
        <v>273</v>
      </c>
      <c r="C6" s="12">
        <v>50</v>
      </c>
      <c r="D6" s="9">
        <v>36</v>
      </c>
      <c r="E6" s="9">
        <v>46</v>
      </c>
      <c r="F6" s="9">
        <v>38</v>
      </c>
      <c r="G6" s="9">
        <v>33</v>
      </c>
      <c r="H6" s="9">
        <v>29</v>
      </c>
      <c r="I6" s="9">
        <v>33</v>
      </c>
      <c r="J6" s="9">
        <v>27</v>
      </c>
      <c r="K6" s="9">
        <v>46</v>
      </c>
      <c r="L6" s="9">
        <v>31</v>
      </c>
      <c r="M6" s="9">
        <v>48</v>
      </c>
      <c r="N6" s="9">
        <v>42</v>
      </c>
      <c r="O6" s="9">
        <v>41</v>
      </c>
      <c r="P6" s="9">
        <v>44</v>
      </c>
      <c r="Q6" s="9">
        <v>54</v>
      </c>
      <c r="R6" s="9">
        <v>33</v>
      </c>
      <c r="S6" s="9">
        <v>43</v>
      </c>
      <c r="T6" s="9">
        <v>42</v>
      </c>
      <c r="U6" s="9">
        <v>44</v>
      </c>
      <c r="V6" s="9">
        <v>49</v>
      </c>
      <c r="W6" s="9">
        <v>46</v>
      </c>
      <c r="X6" s="9">
        <v>58</v>
      </c>
      <c r="Y6" s="9">
        <v>46</v>
      </c>
      <c r="Z6" s="9">
        <v>61</v>
      </c>
      <c r="AA6" s="38">
        <v>59</v>
      </c>
      <c r="AB6" s="38">
        <v>52</v>
      </c>
      <c r="AC6">
        <v>51</v>
      </c>
      <c r="AD6">
        <v>70</v>
      </c>
      <c r="AE6">
        <v>50</v>
      </c>
      <c r="AF6" s="9">
        <v>61</v>
      </c>
      <c r="AG6" s="9">
        <v>57</v>
      </c>
      <c r="AH6" s="9">
        <v>83</v>
      </c>
      <c r="AI6" s="9">
        <v>51</v>
      </c>
      <c r="AJ6" s="9">
        <v>54</v>
      </c>
      <c r="AK6" s="9">
        <v>42</v>
      </c>
      <c r="AL6" s="9">
        <v>52</v>
      </c>
      <c r="AM6" s="9">
        <v>45</v>
      </c>
      <c r="AN6" s="9">
        <v>54</v>
      </c>
      <c r="AO6" s="9">
        <v>54</v>
      </c>
      <c r="AP6" s="9">
        <v>48</v>
      </c>
      <c r="AQ6" s="9">
        <v>61</v>
      </c>
      <c r="AR6" s="9">
        <v>60</v>
      </c>
      <c r="AS6" s="9">
        <v>50</v>
      </c>
      <c r="AT6" s="9">
        <v>67</v>
      </c>
      <c r="AU6" s="9">
        <v>44</v>
      </c>
      <c r="AV6" s="9">
        <v>63</v>
      </c>
      <c r="AW6" s="9">
        <v>58</v>
      </c>
      <c r="AX6" s="9">
        <v>49</v>
      </c>
      <c r="AY6" s="9">
        <v>81</v>
      </c>
      <c r="AZ6" s="9">
        <v>59</v>
      </c>
      <c r="BA6" s="9">
        <v>57</v>
      </c>
      <c r="BB6" s="9">
        <v>17</v>
      </c>
      <c r="BC6" s="9"/>
      <c r="BD6" s="9"/>
      <c r="BE6" s="9">
        <f t="shared" ref="BE6:BE21" si="0">AVERAGE(D6:AZ6)</f>
        <v>49.897959183673471</v>
      </c>
    </row>
    <row r="7" spans="1:57" x14ac:dyDescent="0.25">
      <c r="A7" s="114"/>
      <c r="B7" s="12" t="s">
        <v>274</v>
      </c>
      <c r="C7" s="17">
        <v>0.9</v>
      </c>
      <c r="D7" s="10">
        <v>0.89</v>
      </c>
      <c r="E7" s="10">
        <v>0.89</v>
      </c>
      <c r="F7" s="10">
        <v>0.79</v>
      </c>
      <c r="G7" s="10">
        <v>1</v>
      </c>
      <c r="H7" s="10">
        <v>0.94</v>
      </c>
      <c r="I7" s="10">
        <v>0.95</v>
      </c>
      <c r="J7" s="10">
        <v>0.86</v>
      </c>
      <c r="K7" s="10">
        <v>0.84</v>
      </c>
      <c r="L7" s="10">
        <f>27/34</f>
        <v>0.79411764705882348</v>
      </c>
      <c r="M7" s="10">
        <v>0.92</v>
      </c>
      <c r="N7" s="10">
        <v>0.8</v>
      </c>
      <c r="O7" s="10">
        <v>0.89</v>
      </c>
      <c r="P7" s="10">
        <v>0.91</v>
      </c>
      <c r="Q7" s="10">
        <v>0.9</v>
      </c>
      <c r="R7" s="10">
        <v>0.74</v>
      </c>
      <c r="S7" s="10">
        <v>0.8</v>
      </c>
      <c r="T7" s="10">
        <v>0.89</v>
      </c>
      <c r="U7" s="10">
        <v>0.86</v>
      </c>
      <c r="V7" s="10">
        <v>0.76</v>
      </c>
      <c r="W7" s="10">
        <v>0.69</v>
      </c>
      <c r="X7" s="10">
        <v>0.86</v>
      </c>
      <c r="Y7" s="10">
        <v>0.88</v>
      </c>
      <c r="Z7" s="10">
        <v>0.89</v>
      </c>
      <c r="AA7" s="40">
        <v>0.97</v>
      </c>
      <c r="AB7" s="40">
        <v>0.86</v>
      </c>
      <c r="AC7" s="5">
        <v>0.96</v>
      </c>
      <c r="AD7" s="5">
        <v>0.95</v>
      </c>
      <c r="AE7" s="5">
        <v>0.94</v>
      </c>
      <c r="AF7" s="10">
        <v>0.89</v>
      </c>
      <c r="AG7" s="10">
        <v>0.76</v>
      </c>
      <c r="AH7" s="10">
        <v>0.88</v>
      </c>
      <c r="AI7" s="10">
        <v>0.94</v>
      </c>
      <c r="AJ7" s="10">
        <v>0.77</v>
      </c>
      <c r="AK7" s="10">
        <v>0.71</v>
      </c>
      <c r="AL7" s="10">
        <v>0.85</v>
      </c>
      <c r="AM7" s="10">
        <v>0.76</v>
      </c>
      <c r="AN7" s="10">
        <v>0.88</v>
      </c>
      <c r="AO7" s="10">
        <v>0.81</v>
      </c>
      <c r="AP7" s="10">
        <v>0.68</v>
      </c>
      <c r="AQ7" s="10">
        <v>0.66</v>
      </c>
      <c r="AR7" s="10">
        <v>0.67</v>
      </c>
      <c r="AS7" s="10">
        <v>0.8</v>
      </c>
      <c r="AT7" s="10">
        <v>0.77</v>
      </c>
      <c r="AU7" s="10">
        <v>100</v>
      </c>
      <c r="AV7" s="10">
        <v>94</v>
      </c>
      <c r="AW7" s="10">
        <v>100</v>
      </c>
      <c r="AX7" s="10">
        <v>1</v>
      </c>
      <c r="AY7" s="10">
        <v>1</v>
      </c>
      <c r="AZ7" s="10">
        <v>1</v>
      </c>
      <c r="BA7" s="10">
        <v>1</v>
      </c>
      <c r="BB7" s="10">
        <v>1</v>
      </c>
      <c r="BC7" s="10"/>
      <c r="BD7" s="10"/>
      <c r="BE7" s="10">
        <f t="shared" si="0"/>
        <v>6.8011044417767108</v>
      </c>
    </row>
    <row r="8" spans="1:57" x14ac:dyDescent="0.25">
      <c r="A8" s="114"/>
      <c r="B8" s="12" t="s">
        <v>275</v>
      </c>
      <c r="C8" s="17">
        <v>0.9</v>
      </c>
      <c r="D8" s="10">
        <v>0.63</v>
      </c>
      <c r="E8" s="10">
        <v>0.61</v>
      </c>
      <c r="F8" s="10">
        <v>0.55000000000000004</v>
      </c>
      <c r="G8" s="10">
        <v>0.86</v>
      </c>
      <c r="H8" s="10">
        <v>0.71</v>
      </c>
      <c r="I8" s="10">
        <v>0.64</v>
      </c>
      <c r="J8" s="10">
        <v>0.72</v>
      </c>
      <c r="K8" s="10">
        <v>0.66</v>
      </c>
      <c r="L8" s="10">
        <v>0.76</v>
      </c>
      <c r="M8" s="10">
        <v>0.75</v>
      </c>
      <c r="N8" s="10">
        <v>0.73</v>
      </c>
      <c r="O8" s="10">
        <v>0.74</v>
      </c>
      <c r="P8" s="10">
        <v>0.82</v>
      </c>
      <c r="Q8" s="10">
        <v>0.78</v>
      </c>
      <c r="R8" s="10">
        <v>0.74</v>
      </c>
      <c r="S8" s="10">
        <v>0.75</v>
      </c>
      <c r="T8" s="10">
        <v>0.78</v>
      </c>
      <c r="U8" s="10">
        <v>0.76</v>
      </c>
      <c r="V8" s="10">
        <v>0.72</v>
      </c>
      <c r="W8" s="10">
        <v>0.77</v>
      </c>
      <c r="X8" s="10">
        <v>0.86</v>
      </c>
      <c r="Y8" s="10">
        <v>0.71</v>
      </c>
      <c r="Z8" s="10">
        <v>0.82</v>
      </c>
      <c r="AA8" s="40">
        <v>0.85</v>
      </c>
      <c r="AB8" s="40">
        <v>0.64</v>
      </c>
      <c r="AC8" s="5">
        <v>0.51</v>
      </c>
      <c r="AD8" s="5">
        <v>0.56999999999999995</v>
      </c>
      <c r="AE8" s="5">
        <v>0.64</v>
      </c>
      <c r="AF8" s="10">
        <v>0.55000000000000004</v>
      </c>
      <c r="AG8" s="10">
        <v>0.47</v>
      </c>
      <c r="AH8" s="10">
        <v>0.6</v>
      </c>
      <c r="AI8" s="10">
        <v>0.67</v>
      </c>
      <c r="AJ8" s="10">
        <v>0.64</v>
      </c>
      <c r="AK8" s="10">
        <v>0.61</v>
      </c>
      <c r="AL8" s="10">
        <v>0.71</v>
      </c>
      <c r="AM8" s="10">
        <v>0.62</v>
      </c>
      <c r="AN8" s="10">
        <v>0.78</v>
      </c>
      <c r="AO8" s="10">
        <v>0.76</v>
      </c>
      <c r="AP8" s="10">
        <v>0.7</v>
      </c>
      <c r="AQ8" s="10">
        <v>0.65</v>
      </c>
      <c r="AR8" s="10">
        <v>0.74</v>
      </c>
      <c r="AS8" s="10">
        <v>0.76</v>
      </c>
      <c r="AT8" s="10">
        <v>0.74</v>
      </c>
      <c r="AU8" s="10">
        <v>0.9</v>
      </c>
      <c r="AV8" s="10">
        <v>94</v>
      </c>
      <c r="AW8" s="10">
        <v>100</v>
      </c>
      <c r="AX8" s="10">
        <v>1</v>
      </c>
      <c r="AY8" s="10">
        <v>1</v>
      </c>
      <c r="AZ8" s="10">
        <v>1</v>
      </c>
      <c r="BA8" s="10">
        <v>0.97</v>
      </c>
      <c r="BB8" s="10">
        <v>0.92</v>
      </c>
      <c r="BC8" s="10"/>
      <c r="BD8" s="10"/>
      <c r="BE8" s="10">
        <f t="shared" si="0"/>
        <v>4.6526530612244903</v>
      </c>
    </row>
    <row r="9" spans="1:57" x14ac:dyDescent="0.25">
      <c r="A9" s="114"/>
      <c r="B9" s="12" t="s">
        <v>276</v>
      </c>
      <c r="C9" s="17">
        <v>0.9</v>
      </c>
      <c r="D9" s="10">
        <v>0.33</v>
      </c>
      <c r="E9" s="10">
        <v>7.0000000000000007E-2</v>
      </c>
      <c r="F9" s="10">
        <v>7.0000000000000007E-2</v>
      </c>
      <c r="G9" s="10">
        <v>0.47</v>
      </c>
      <c r="H9" s="10">
        <v>0.46</v>
      </c>
      <c r="I9" s="10">
        <v>0.31</v>
      </c>
      <c r="J9" s="10">
        <v>0.90480000000000005</v>
      </c>
      <c r="K9" s="10">
        <v>0.91180000000000005</v>
      </c>
      <c r="L9" s="10">
        <v>0.89659999999999995</v>
      </c>
      <c r="M9" s="10">
        <v>0.91</v>
      </c>
      <c r="N9" s="10">
        <v>0.84850000000000003</v>
      </c>
      <c r="O9" s="10">
        <v>0.90239999999999998</v>
      </c>
      <c r="P9" s="10">
        <v>0.82220000000000004</v>
      </c>
      <c r="Q9" s="10">
        <v>0.89129999999999998</v>
      </c>
      <c r="R9" s="10">
        <v>0.88570000000000004</v>
      </c>
      <c r="S9" s="10">
        <v>0.90480000000000005</v>
      </c>
      <c r="T9" s="10">
        <v>0.97140000000000004</v>
      </c>
      <c r="U9" s="10">
        <v>0.92679999999999996</v>
      </c>
      <c r="V9" s="10">
        <v>0.875</v>
      </c>
      <c r="W9" s="10">
        <v>0.88639999999999997</v>
      </c>
      <c r="X9" s="10">
        <v>0.86</v>
      </c>
      <c r="Y9" s="10">
        <v>0.79100000000000004</v>
      </c>
      <c r="Z9" s="10">
        <v>0.75</v>
      </c>
      <c r="AA9" s="40">
        <v>0.82</v>
      </c>
      <c r="AB9" s="40">
        <v>0.59</v>
      </c>
      <c r="AC9" s="5">
        <v>0.92</v>
      </c>
      <c r="AD9" s="5">
        <v>0.91</v>
      </c>
      <c r="AE9" s="5">
        <v>0.64</v>
      </c>
      <c r="AF9" s="10">
        <v>0.53</v>
      </c>
      <c r="AG9" s="10">
        <v>0.47</v>
      </c>
      <c r="AH9" s="10">
        <v>0.6</v>
      </c>
      <c r="AI9" s="10">
        <v>0.63</v>
      </c>
      <c r="AJ9" s="10">
        <v>0.64</v>
      </c>
      <c r="AK9" s="10">
        <v>0.54</v>
      </c>
      <c r="AL9" s="10">
        <v>0.63</v>
      </c>
      <c r="AM9" s="10">
        <v>0.55000000000000004</v>
      </c>
      <c r="AN9" s="10">
        <v>0.74</v>
      </c>
      <c r="AO9" s="10">
        <v>0.76</v>
      </c>
      <c r="AP9" s="10">
        <v>0.68</v>
      </c>
      <c r="AQ9" s="10">
        <v>0.65</v>
      </c>
      <c r="AR9" s="10">
        <v>0.7</v>
      </c>
      <c r="AS9" s="10">
        <v>0.7</v>
      </c>
      <c r="AT9" s="10">
        <v>0.71</v>
      </c>
      <c r="AU9" s="10">
        <v>0.89190000000000003</v>
      </c>
      <c r="AV9" s="10">
        <v>0.98150000000000004</v>
      </c>
      <c r="AW9" s="10">
        <v>0.92859999999999998</v>
      </c>
      <c r="AX9" s="10">
        <v>0.91669999999999996</v>
      </c>
      <c r="AY9" s="10">
        <v>0.95650000000000002</v>
      </c>
      <c r="AZ9" s="10">
        <v>0.88370000000000004</v>
      </c>
      <c r="BA9" s="10">
        <v>0.88</v>
      </c>
      <c r="BB9" s="10">
        <v>0.9</v>
      </c>
      <c r="BC9" s="10"/>
      <c r="BD9" s="10"/>
      <c r="BE9" s="10">
        <f t="shared" si="0"/>
        <v>0.72688979591836722</v>
      </c>
    </row>
    <row r="10" spans="1:57" hidden="1" x14ac:dyDescent="0.25">
      <c r="A10" s="114"/>
      <c r="B10" s="47" t="s">
        <v>277</v>
      </c>
      <c r="C10" s="17">
        <v>0.9</v>
      </c>
      <c r="D10" s="10">
        <v>0.41</v>
      </c>
      <c r="E10" s="10">
        <v>0.35</v>
      </c>
      <c r="F10" s="10">
        <v>0.43</v>
      </c>
      <c r="G10" s="10">
        <v>0.57999999999999996</v>
      </c>
      <c r="H10" s="10">
        <v>0.86</v>
      </c>
      <c r="I10" s="10">
        <v>0.82</v>
      </c>
      <c r="J10" s="10">
        <v>0.83</v>
      </c>
      <c r="K10" s="10">
        <v>0.88</v>
      </c>
      <c r="L10" s="10">
        <v>0.85</v>
      </c>
      <c r="M10" s="10">
        <v>0.75</v>
      </c>
      <c r="N10" s="10">
        <v>0.83</v>
      </c>
      <c r="O10" s="10">
        <v>0.89</v>
      </c>
      <c r="P10" s="10">
        <v>0.89</v>
      </c>
      <c r="Q10" s="10">
        <v>0.9</v>
      </c>
      <c r="R10" s="10">
        <v>0.89</v>
      </c>
      <c r="S10" s="10">
        <v>0.94</v>
      </c>
      <c r="T10" s="10">
        <v>0.98</v>
      </c>
      <c r="U10" s="10">
        <v>0.9</v>
      </c>
      <c r="V10" s="10">
        <v>0.94</v>
      </c>
      <c r="W10" s="10">
        <v>0.98</v>
      </c>
      <c r="X10" s="10">
        <v>0.91</v>
      </c>
      <c r="Y10" s="10">
        <v>0.95</v>
      </c>
      <c r="Z10" s="10">
        <v>0.96</v>
      </c>
      <c r="AA10" s="40">
        <v>0.98</v>
      </c>
      <c r="AB10" s="40">
        <v>0.98</v>
      </c>
      <c r="AC10" s="5">
        <v>1</v>
      </c>
      <c r="AD10" s="5">
        <v>0.97</v>
      </c>
      <c r="AE10" s="5">
        <v>1</v>
      </c>
      <c r="AF10" s="10">
        <v>1</v>
      </c>
      <c r="AG10" s="10">
        <v>1</v>
      </c>
      <c r="AH10" s="10">
        <v>0.98</v>
      </c>
      <c r="AI10" s="10">
        <v>0.96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>
        <f t="shared" si="0"/>
        <v>0.8621875</v>
      </c>
    </row>
    <row r="11" spans="1:57" x14ac:dyDescent="0.25">
      <c r="A11" s="114"/>
      <c r="B11" s="12" t="s">
        <v>278</v>
      </c>
      <c r="C11" s="24">
        <v>3</v>
      </c>
      <c r="D11" s="9">
        <v>2</v>
      </c>
      <c r="E11" s="9">
        <v>4</v>
      </c>
      <c r="F11" s="9">
        <v>3</v>
      </c>
      <c r="G11" s="9">
        <v>1</v>
      </c>
      <c r="H11" s="9">
        <v>10</v>
      </c>
      <c r="I11" s="9">
        <v>2</v>
      </c>
      <c r="J11" s="9">
        <v>1</v>
      </c>
      <c r="K11">
        <v>1</v>
      </c>
      <c r="L11" s="31">
        <v>18</v>
      </c>
      <c r="M11" s="9">
        <v>2</v>
      </c>
      <c r="N11" s="9">
        <v>2</v>
      </c>
      <c r="O11" s="9">
        <v>3</v>
      </c>
      <c r="P11" s="9">
        <v>8</v>
      </c>
      <c r="Q11" s="9">
        <v>3</v>
      </c>
      <c r="R11" s="9">
        <v>0</v>
      </c>
      <c r="S11" s="9">
        <v>4</v>
      </c>
      <c r="T11" s="9">
        <v>2</v>
      </c>
      <c r="U11" s="9">
        <v>3</v>
      </c>
      <c r="V11" s="9">
        <v>0</v>
      </c>
      <c r="W11" s="9">
        <v>2</v>
      </c>
      <c r="X11" s="9">
        <v>4</v>
      </c>
      <c r="Y11" s="9">
        <v>4</v>
      </c>
      <c r="Z11" s="9">
        <v>1</v>
      </c>
      <c r="AA11" s="40">
        <v>0.05</v>
      </c>
      <c r="AB11" s="43">
        <v>3</v>
      </c>
      <c r="AC11">
        <v>3</v>
      </c>
      <c r="AD11">
        <v>1</v>
      </c>
      <c r="AE11">
        <v>0</v>
      </c>
      <c r="AF11" s="9">
        <v>6</v>
      </c>
      <c r="AG11" s="9">
        <v>0</v>
      </c>
      <c r="AH11" s="9">
        <v>1</v>
      </c>
      <c r="AI11" s="9">
        <v>5</v>
      </c>
      <c r="AJ11" s="9">
        <v>2</v>
      </c>
      <c r="AK11" s="9">
        <v>3</v>
      </c>
      <c r="AL11" s="9">
        <v>3</v>
      </c>
      <c r="AM11" s="9">
        <v>3</v>
      </c>
      <c r="AN11" s="9">
        <v>3</v>
      </c>
      <c r="AO11" s="9">
        <v>1</v>
      </c>
      <c r="AP11" s="9">
        <v>1</v>
      </c>
      <c r="AQ11" s="9">
        <v>4</v>
      </c>
      <c r="AR11" s="9">
        <v>1</v>
      </c>
      <c r="AS11" s="9">
        <v>5</v>
      </c>
      <c r="AT11" s="9">
        <v>2</v>
      </c>
      <c r="AU11" s="9">
        <v>3</v>
      </c>
      <c r="AV11" s="9">
        <v>11</v>
      </c>
      <c r="AW11" s="9">
        <v>8</v>
      </c>
      <c r="AX11" s="9">
        <v>6</v>
      </c>
      <c r="AY11" s="9">
        <v>13</v>
      </c>
      <c r="AZ11">
        <v>10</v>
      </c>
      <c r="BA11" s="9">
        <v>3</v>
      </c>
      <c r="BB11" s="9">
        <v>2</v>
      </c>
      <c r="BC11" s="9"/>
      <c r="BD11" s="9"/>
      <c r="BE11" s="9">
        <f t="shared" si="0"/>
        <v>3.6336734693877553</v>
      </c>
    </row>
    <row r="12" spans="1:57" x14ac:dyDescent="0.25">
      <c r="A12" s="114"/>
      <c r="B12" s="12" t="s">
        <v>279</v>
      </c>
      <c r="C12" s="24">
        <v>5</v>
      </c>
      <c r="D12" s="9">
        <v>4</v>
      </c>
      <c r="E12" s="9">
        <v>3</v>
      </c>
      <c r="F12" s="9">
        <v>2</v>
      </c>
      <c r="G12" s="9">
        <v>0</v>
      </c>
      <c r="H12" s="9">
        <v>0</v>
      </c>
      <c r="I12" s="9">
        <v>0</v>
      </c>
      <c r="J12" s="9">
        <v>0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1</v>
      </c>
      <c r="R12" s="9">
        <v>4</v>
      </c>
      <c r="S12" s="9">
        <v>0</v>
      </c>
      <c r="T12" s="9">
        <v>0</v>
      </c>
      <c r="U12" s="9">
        <v>0</v>
      </c>
      <c r="V12" s="9">
        <v>1</v>
      </c>
      <c r="W12" s="9">
        <v>1</v>
      </c>
      <c r="X12" s="9">
        <v>0</v>
      </c>
      <c r="Y12" s="9">
        <v>24</v>
      </c>
      <c r="Z12">
        <v>20</v>
      </c>
      <c r="AA12" s="41">
        <v>12</v>
      </c>
      <c r="AB12" s="42">
        <v>7</v>
      </c>
      <c r="AC12">
        <v>1</v>
      </c>
      <c r="AD12">
        <v>6</v>
      </c>
      <c r="AE12">
        <v>0</v>
      </c>
      <c r="AF12" s="9">
        <v>2</v>
      </c>
      <c r="AG12" s="9">
        <v>2</v>
      </c>
      <c r="AH12" s="9">
        <v>3</v>
      </c>
      <c r="AI12" s="9">
        <v>4</v>
      </c>
      <c r="AJ12" s="9">
        <v>0</v>
      </c>
      <c r="AK12" s="9">
        <v>8</v>
      </c>
      <c r="AL12" s="9">
        <v>1</v>
      </c>
      <c r="AM12" s="9">
        <v>2</v>
      </c>
      <c r="AN12" s="9">
        <v>0</v>
      </c>
      <c r="AO12" s="9">
        <v>0</v>
      </c>
      <c r="AP12" s="9">
        <v>1</v>
      </c>
      <c r="AQ12" s="9">
        <v>3</v>
      </c>
      <c r="AR12" s="9">
        <v>1</v>
      </c>
      <c r="AS12" s="9">
        <v>2</v>
      </c>
      <c r="AT12" s="9">
        <v>1</v>
      </c>
      <c r="AU12" s="9">
        <v>0</v>
      </c>
      <c r="AV12" s="9">
        <v>0</v>
      </c>
      <c r="AW12" s="9">
        <v>1</v>
      </c>
      <c r="AX12" s="9">
        <v>0</v>
      </c>
      <c r="AY12" s="9">
        <v>3</v>
      </c>
      <c r="AZ12" s="9">
        <v>2</v>
      </c>
      <c r="BA12" s="9">
        <v>1</v>
      </c>
      <c r="BB12" s="9"/>
      <c r="BC12" s="9"/>
      <c r="BD12" s="9"/>
      <c r="BE12" s="9">
        <f>AVERAGE(D12:AZ12)</f>
        <v>2.5306122448979593</v>
      </c>
    </row>
    <row r="13" spans="1:57" ht="18.75" customHeight="1" x14ac:dyDescent="0.25">
      <c r="A13" s="114"/>
      <c r="B13" s="12" t="s">
        <v>280</v>
      </c>
      <c r="C13" s="17"/>
      <c r="D13" s="9" t="s">
        <v>281</v>
      </c>
      <c r="E13" s="9" t="s">
        <v>282</v>
      </c>
      <c r="F13" s="9" t="s">
        <v>283</v>
      </c>
      <c r="G13" s="9" t="s">
        <v>284</v>
      </c>
      <c r="H13" s="9" t="s">
        <v>285</v>
      </c>
      <c r="I13" s="9" t="s">
        <v>286</v>
      </c>
      <c r="J13" s="9" t="s">
        <v>287</v>
      </c>
      <c r="K13" s="9" t="s">
        <v>288</v>
      </c>
      <c r="L13" s="9" t="s">
        <v>289</v>
      </c>
      <c r="M13" s="9" t="s">
        <v>290</v>
      </c>
      <c r="N13" s="9" t="s">
        <v>291</v>
      </c>
      <c r="O13" s="9" t="s">
        <v>292</v>
      </c>
      <c r="P13" s="34" t="s">
        <v>293</v>
      </c>
      <c r="Q13" s="34" t="s">
        <v>294</v>
      </c>
      <c r="R13" s="34" t="s">
        <v>295</v>
      </c>
      <c r="S13" s="34" t="s">
        <v>296</v>
      </c>
      <c r="T13" s="34" t="s">
        <v>297</v>
      </c>
      <c r="U13" s="34" t="s">
        <v>298</v>
      </c>
      <c r="V13" s="34" t="s">
        <v>299</v>
      </c>
      <c r="W13" s="34" t="s">
        <v>300</v>
      </c>
      <c r="X13" s="34" t="s">
        <v>301</v>
      </c>
      <c r="Y13" s="34" t="s">
        <v>302</v>
      </c>
      <c r="Z13" s="34" t="s">
        <v>303</v>
      </c>
      <c r="AA13" s="39" t="s">
        <v>304</v>
      </c>
      <c r="AB13" s="39" t="s">
        <v>305</v>
      </c>
      <c r="AC13" t="s">
        <v>306</v>
      </c>
      <c r="AD13" t="s">
        <v>307</v>
      </c>
      <c r="AE13" t="s">
        <v>308</v>
      </c>
      <c r="AF13" s="9" t="s">
        <v>309</v>
      </c>
      <c r="AG13" s="9" t="s">
        <v>310</v>
      </c>
      <c r="AH13" s="9" t="s">
        <v>311</v>
      </c>
      <c r="AI13" s="9" t="s">
        <v>312</v>
      </c>
      <c r="AJ13" s="9" t="s">
        <v>313</v>
      </c>
      <c r="AK13" s="9" t="s">
        <v>314</v>
      </c>
      <c r="AL13" s="9" t="s">
        <v>315</v>
      </c>
      <c r="AM13" s="9" t="s">
        <v>316</v>
      </c>
      <c r="AN13" s="9" t="s">
        <v>317</v>
      </c>
      <c r="AO13" s="9" t="s">
        <v>318</v>
      </c>
      <c r="AP13" s="9" t="s">
        <v>319</v>
      </c>
      <c r="AQ13" s="9" t="s">
        <v>320</v>
      </c>
      <c r="AR13" s="9" t="s">
        <v>321</v>
      </c>
      <c r="AS13" s="9" t="s">
        <v>322</v>
      </c>
      <c r="AT13" s="9" t="s">
        <v>323</v>
      </c>
      <c r="AU13" s="9" t="s">
        <v>324</v>
      </c>
      <c r="AV13" s="9" t="s">
        <v>325</v>
      </c>
      <c r="AW13" s="9" t="s">
        <v>326</v>
      </c>
      <c r="AX13" s="9" t="s">
        <v>327</v>
      </c>
      <c r="AY13" s="9" t="s">
        <v>328</v>
      </c>
      <c r="AZ13" s="9" t="s">
        <v>329</v>
      </c>
      <c r="BA13" s="9" t="s">
        <v>330</v>
      </c>
      <c r="BB13" s="9"/>
      <c r="BC13" s="9"/>
      <c r="BD13" s="9"/>
      <c r="BE13" s="9"/>
    </row>
    <row r="14" spans="1:57" x14ac:dyDescent="0.25">
      <c r="A14" s="114"/>
      <c r="B14" s="12" t="s">
        <v>331</v>
      </c>
      <c r="C14" s="17"/>
      <c r="D14" s="9">
        <v>22.57</v>
      </c>
      <c r="E14" s="9">
        <v>39.49</v>
      </c>
      <c r="F14" s="9">
        <v>37.75</v>
      </c>
      <c r="G14" s="9">
        <v>15.17</v>
      </c>
      <c r="H14" s="9">
        <v>17.510000000000002</v>
      </c>
      <c r="I14" s="9">
        <v>16.260000000000002</v>
      </c>
      <c r="J14" s="9">
        <v>17.36</v>
      </c>
      <c r="K14" s="9">
        <v>14.984</v>
      </c>
      <c r="L14" s="9">
        <v>38.93</v>
      </c>
      <c r="M14" s="9">
        <v>26.74</v>
      </c>
      <c r="N14" s="9">
        <v>33.409999999999997</v>
      </c>
      <c r="O14" s="9">
        <v>20</v>
      </c>
      <c r="P14" s="9">
        <v>31.9</v>
      </c>
      <c r="Q14" s="9">
        <v>33.1</v>
      </c>
      <c r="R14" s="9">
        <v>15.5</v>
      </c>
      <c r="S14" s="9">
        <v>30.91</v>
      </c>
      <c r="T14" s="9">
        <v>20.28</v>
      </c>
      <c r="U14" s="9">
        <v>18.399999999999999</v>
      </c>
      <c r="V14" s="9">
        <v>31.21</v>
      </c>
      <c r="W14" s="9">
        <v>10.95</v>
      </c>
      <c r="X14" s="9">
        <v>20.62</v>
      </c>
      <c r="Y14" s="9">
        <v>48.54</v>
      </c>
      <c r="Z14" s="9">
        <v>37.92</v>
      </c>
      <c r="AA14" s="38">
        <v>30.01</v>
      </c>
      <c r="AB14" s="38">
        <v>21.33</v>
      </c>
      <c r="AC14">
        <v>32.92</v>
      </c>
      <c r="AD14">
        <v>26.53</v>
      </c>
      <c r="AE14">
        <v>15.77</v>
      </c>
      <c r="AF14" s="9">
        <v>17.440000000000001</v>
      </c>
      <c r="AG14" s="9">
        <v>24.59</v>
      </c>
      <c r="AH14" s="9">
        <v>20</v>
      </c>
      <c r="AI14" s="9">
        <v>16.88</v>
      </c>
      <c r="AJ14" s="9">
        <v>32.19</v>
      </c>
      <c r="AK14" s="9">
        <v>19.649999999999999</v>
      </c>
      <c r="AL14" s="9">
        <f>47.54-24</f>
        <v>23.54</v>
      </c>
      <c r="AM14" s="9">
        <v>28.73</v>
      </c>
      <c r="AN14" s="9">
        <v>35.15</v>
      </c>
      <c r="AO14" s="9">
        <v>23.2</v>
      </c>
      <c r="AP14" s="9">
        <v>23.68</v>
      </c>
      <c r="AQ14" s="9">
        <v>22.47</v>
      </c>
      <c r="AR14" s="9">
        <v>22.72</v>
      </c>
      <c r="AS14" s="9">
        <v>25.38</v>
      </c>
      <c r="AT14" s="9">
        <v>21.31</v>
      </c>
      <c r="AU14" s="9">
        <v>20.97</v>
      </c>
      <c r="AV14" s="9">
        <v>29.56</v>
      </c>
      <c r="AW14" s="9">
        <v>29.47</v>
      </c>
      <c r="AX14" s="9">
        <v>23.14</v>
      </c>
      <c r="AY14" s="9">
        <v>36.92</v>
      </c>
      <c r="AZ14" s="9">
        <v>33.32</v>
      </c>
      <c r="BA14" s="9">
        <v>34.840000000000003</v>
      </c>
      <c r="BB14" s="9"/>
      <c r="BC14" s="9"/>
      <c r="BD14" s="9"/>
      <c r="BE14" s="9">
        <f>AVERAGE(D14:BA14)</f>
        <v>25.824279999999998</v>
      </c>
    </row>
    <row r="15" spans="1:57" hidden="1" x14ac:dyDescent="0.25">
      <c r="A15" s="115"/>
      <c r="B15" s="12" t="s">
        <v>332</v>
      </c>
      <c r="C15" s="17"/>
      <c r="D15" s="9">
        <v>10</v>
      </c>
      <c r="E15" s="9">
        <v>13</v>
      </c>
      <c r="F15" s="9">
        <v>10</v>
      </c>
      <c r="G15" s="9">
        <v>22</v>
      </c>
      <c r="H15" s="9">
        <v>7</v>
      </c>
      <c r="I15" s="9">
        <v>9</v>
      </c>
      <c r="J15" s="9">
        <v>9</v>
      </c>
      <c r="K15" s="9">
        <v>18</v>
      </c>
      <c r="L15" s="9">
        <v>12</v>
      </c>
      <c r="M15" s="9" t="s">
        <v>333</v>
      </c>
      <c r="N15" s="9">
        <v>9</v>
      </c>
      <c r="O15" s="9">
        <v>6</v>
      </c>
      <c r="P15" s="9">
        <v>8</v>
      </c>
      <c r="Q15" s="9">
        <v>9</v>
      </c>
      <c r="R15" s="9">
        <v>7</v>
      </c>
      <c r="S15" s="9">
        <v>11</v>
      </c>
      <c r="T15" s="9">
        <v>9</v>
      </c>
      <c r="U15" s="9">
        <v>9</v>
      </c>
      <c r="V15" s="9"/>
      <c r="W15" s="9"/>
      <c r="X15" s="9"/>
      <c r="Y15" s="9"/>
      <c r="Z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>
        <f t="shared" si="0"/>
        <v>10.470588235294118</v>
      </c>
    </row>
    <row r="16" spans="1:57" x14ac:dyDescent="0.25">
      <c r="A16" s="27"/>
      <c r="B16" s="12" t="s">
        <v>334</v>
      </c>
      <c r="C16" s="24">
        <v>16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>
        <v>42.99</v>
      </c>
      <c r="R16" s="9">
        <v>36.67</v>
      </c>
      <c r="S16" s="9">
        <v>47.04</v>
      </c>
      <c r="T16" s="9">
        <v>36.51</v>
      </c>
      <c r="U16">
        <v>35.130000000000003</v>
      </c>
      <c r="V16">
        <v>32.5</v>
      </c>
      <c r="W16">
        <v>18.12</v>
      </c>
      <c r="X16">
        <v>26.74</v>
      </c>
      <c r="Y16">
        <v>24.15</v>
      </c>
      <c r="Z16">
        <v>45.09</v>
      </c>
      <c r="AA16">
        <v>24.39</v>
      </c>
      <c r="AB16">
        <v>20.43</v>
      </c>
      <c r="AC16">
        <v>19.059999999999999</v>
      </c>
      <c r="AD16">
        <v>24.34</v>
      </c>
      <c r="AE16">
        <v>55.73</v>
      </c>
      <c r="AF16" s="9">
        <v>25.33</v>
      </c>
      <c r="AG16" s="9">
        <v>16.39</v>
      </c>
      <c r="AH16" s="9">
        <v>32.42</v>
      </c>
      <c r="AI16" s="9">
        <v>13.23</v>
      </c>
      <c r="AJ16" s="9">
        <v>31.33</v>
      </c>
      <c r="AK16" s="9">
        <v>12.54</v>
      </c>
      <c r="AL16" s="9">
        <v>16.489999999999998</v>
      </c>
      <c r="AM16" s="9">
        <v>30.39</v>
      </c>
      <c r="AN16" s="9">
        <v>20.420000000000002</v>
      </c>
      <c r="AO16" s="9">
        <v>27.85</v>
      </c>
      <c r="AP16" s="9">
        <v>18.87</v>
      </c>
      <c r="AQ16" s="9">
        <v>21.45</v>
      </c>
      <c r="AR16" s="9">
        <v>11.14</v>
      </c>
      <c r="AS16" s="9">
        <v>12.15</v>
      </c>
      <c r="AT16" s="9">
        <v>17.82</v>
      </c>
      <c r="AU16" s="9">
        <v>16.09</v>
      </c>
      <c r="AV16" s="9">
        <v>15.29</v>
      </c>
      <c r="AW16" s="9">
        <v>10.039999999999999</v>
      </c>
      <c r="AX16" s="9">
        <v>20.66</v>
      </c>
      <c r="AY16" s="9">
        <v>11.8</v>
      </c>
      <c r="AZ16" s="9">
        <v>13.45</v>
      </c>
      <c r="BA16" s="9">
        <v>9.58</v>
      </c>
      <c r="BB16" s="9"/>
      <c r="BC16" s="9"/>
      <c r="BD16" s="9"/>
      <c r="BE16" s="9">
        <f t="shared" si="0"/>
        <v>24.556666666666661</v>
      </c>
    </row>
    <row r="17" spans="1:57" x14ac:dyDescent="0.25">
      <c r="A17" s="108" t="s">
        <v>116</v>
      </c>
      <c r="B17" s="13" t="s">
        <v>117</v>
      </c>
      <c r="C17" s="18">
        <v>1</v>
      </c>
      <c r="D17" s="10">
        <v>1</v>
      </c>
      <c r="E17" s="10">
        <v>0.97399999999999998</v>
      </c>
      <c r="F17" s="10">
        <v>1</v>
      </c>
      <c r="G17" s="10">
        <v>1</v>
      </c>
      <c r="H17" s="10">
        <v>0.99209999999999998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0.99229999999999996</v>
      </c>
      <c r="R17" s="10">
        <v>0.74</v>
      </c>
      <c r="S17" s="10">
        <v>0.85</v>
      </c>
      <c r="T17" s="10">
        <v>1</v>
      </c>
      <c r="U17" s="10">
        <v>1</v>
      </c>
      <c r="V17" s="10">
        <v>0.88280000000000003</v>
      </c>
      <c r="W17" s="10"/>
      <c r="X17" s="10">
        <v>0.94</v>
      </c>
      <c r="Y17" s="10">
        <v>0.98</v>
      </c>
      <c r="Z17" s="10"/>
      <c r="AA17" s="40">
        <v>1</v>
      </c>
      <c r="AB17" s="40">
        <v>0.95</v>
      </c>
      <c r="AC17">
        <v>100</v>
      </c>
      <c r="AD17">
        <v>100</v>
      </c>
      <c r="AE17">
        <v>100</v>
      </c>
      <c r="AF17" s="10">
        <v>100</v>
      </c>
      <c r="AG17" s="10">
        <v>100</v>
      </c>
      <c r="AH17" s="10">
        <v>100</v>
      </c>
      <c r="AI17" s="10">
        <v>99.7</v>
      </c>
      <c r="AJ17" s="10">
        <v>100</v>
      </c>
      <c r="AK17" s="10">
        <v>100</v>
      </c>
      <c r="AL17" s="10">
        <v>100</v>
      </c>
      <c r="AM17" s="10">
        <v>0.99219999999999997</v>
      </c>
      <c r="AN17" s="10">
        <v>100</v>
      </c>
      <c r="AO17" s="10">
        <v>100</v>
      </c>
      <c r="AP17" s="10">
        <v>99</v>
      </c>
      <c r="AQ17" s="10">
        <v>100</v>
      </c>
      <c r="AR17" s="10">
        <v>100</v>
      </c>
      <c r="AS17" s="10">
        <v>100</v>
      </c>
      <c r="AT17" s="10">
        <v>100</v>
      </c>
      <c r="AU17" s="10">
        <v>1</v>
      </c>
      <c r="AV17" s="10">
        <v>0.98</v>
      </c>
      <c r="AW17" s="10">
        <v>100</v>
      </c>
      <c r="AX17" s="10">
        <v>100</v>
      </c>
      <c r="AY17" s="10">
        <v>0.999</v>
      </c>
      <c r="AZ17" s="10">
        <v>0.99</v>
      </c>
      <c r="BA17" s="10">
        <v>0.99</v>
      </c>
      <c r="BB17" s="10"/>
      <c r="BC17" s="10"/>
      <c r="BD17" s="10"/>
      <c r="BE17" s="10">
        <f t="shared" si="0"/>
        <v>40.977923404255321</v>
      </c>
    </row>
    <row r="18" spans="1:57" x14ac:dyDescent="0.25">
      <c r="A18" s="108"/>
      <c r="B18" s="13" t="s">
        <v>335</v>
      </c>
      <c r="C18" s="18">
        <v>1</v>
      </c>
      <c r="D18" s="10">
        <f>27/28</f>
        <v>0.9642857142857143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0.82</v>
      </c>
      <c r="K18" s="10">
        <v>0.99</v>
      </c>
      <c r="L18" s="10">
        <v>0.99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0.99</v>
      </c>
      <c r="S18" s="10">
        <v>1</v>
      </c>
      <c r="T18" s="10">
        <v>1</v>
      </c>
      <c r="U18" s="10">
        <v>0.99</v>
      </c>
      <c r="V18" s="10">
        <v>1</v>
      </c>
      <c r="W18" s="10">
        <v>1</v>
      </c>
      <c r="X18" s="10">
        <v>1</v>
      </c>
      <c r="Y18" s="10">
        <v>0.99</v>
      </c>
      <c r="Z18" s="10"/>
      <c r="AA18" s="40">
        <v>1</v>
      </c>
      <c r="AB18" s="40">
        <v>0.93</v>
      </c>
      <c r="AC18">
        <v>100</v>
      </c>
      <c r="AD18">
        <v>100</v>
      </c>
      <c r="AE18">
        <v>100</v>
      </c>
      <c r="AF18" s="10">
        <v>100</v>
      </c>
      <c r="AG18" s="10">
        <v>100</v>
      </c>
      <c r="AH18" s="10">
        <v>100</v>
      </c>
      <c r="AI18" s="10">
        <v>100</v>
      </c>
      <c r="AJ18" s="10">
        <v>95</v>
      </c>
      <c r="AK18" s="10">
        <v>99</v>
      </c>
      <c r="AL18" s="10">
        <v>100</v>
      </c>
      <c r="AM18" s="10">
        <v>0.98</v>
      </c>
      <c r="AN18" s="10">
        <v>100</v>
      </c>
      <c r="AO18" s="10">
        <v>100</v>
      </c>
      <c r="AP18" s="10">
        <v>99</v>
      </c>
      <c r="AQ18" s="10">
        <v>100</v>
      </c>
      <c r="AR18" s="10">
        <v>80</v>
      </c>
      <c r="AS18" s="10">
        <v>100</v>
      </c>
      <c r="AT18" s="10">
        <v>100</v>
      </c>
      <c r="AU18" s="10">
        <v>0.75</v>
      </c>
      <c r="AV18" s="10">
        <f>26/28</f>
        <v>0.9285714285714286</v>
      </c>
      <c r="AW18" s="10">
        <f>24/28</f>
        <v>0.8571428571428571</v>
      </c>
      <c r="AX18" s="10">
        <v>0.82</v>
      </c>
      <c r="AY18" s="10">
        <f>24/28</f>
        <v>0.8571428571428571</v>
      </c>
      <c r="AZ18" s="10">
        <v>0.99</v>
      </c>
      <c r="BA18" s="10">
        <v>0.99</v>
      </c>
      <c r="BB18" s="10"/>
      <c r="BC18" s="10"/>
      <c r="BD18" s="10"/>
      <c r="BE18" s="10">
        <f t="shared" si="0"/>
        <v>35.475982142857141</v>
      </c>
    </row>
    <row r="19" spans="1:57" x14ac:dyDescent="0.25">
      <c r="A19" s="110" t="s">
        <v>119</v>
      </c>
      <c r="B19" s="14" t="s">
        <v>336</v>
      </c>
      <c r="C19" s="26">
        <v>5</v>
      </c>
      <c r="D19" s="25">
        <v>6</v>
      </c>
      <c r="E19" s="25">
        <v>6</v>
      </c>
      <c r="F19" s="25">
        <v>0</v>
      </c>
      <c r="G19" s="25">
        <v>1</v>
      </c>
      <c r="H19">
        <v>0</v>
      </c>
      <c r="I19" s="25">
        <v>1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1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2</v>
      </c>
      <c r="AF19" s="25">
        <v>1</v>
      </c>
      <c r="AG19" s="25">
        <v>0</v>
      </c>
      <c r="AH19" s="25">
        <v>1</v>
      </c>
      <c r="AI19" s="25">
        <v>0</v>
      </c>
      <c r="AJ19" s="25">
        <v>0</v>
      </c>
      <c r="AK19" s="25">
        <v>0</v>
      </c>
      <c r="AL19" s="25">
        <v>2</v>
      </c>
      <c r="AM19" s="25">
        <v>1</v>
      </c>
      <c r="AN19" s="25">
        <v>3</v>
      </c>
      <c r="AO19" s="25">
        <v>0</v>
      </c>
      <c r="AP19" s="25">
        <v>0</v>
      </c>
      <c r="AQ19" s="25">
        <v>0</v>
      </c>
      <c r="AR19" s="25">
        <v>1</v>
      </c>
      <c r="AS19" s="25">
        <v>0</v>
      </c>
      <c r="AT19" s="25">
        <v>0</v>
      </c>
      <c r="AU19" s="25">
        <v>0</v>
      </c>
      <c r="AV19" s="25">
        <v>1</v>
      </c>
      <c r="AW19" s="25">
        <v>29</v>
      </c>
      <c r="AX19" s="25">
        <v>2</v>
      </c>
      <c r="AY19" s="25">
        <v>2</v>
      </c>
      <c r="AZ19" s="25">
        <v>0</v>
      </c>
      <c r="BA19" s="25">
        <v>2</v>
      </c>
      <c r="BB19" s="25"/>
      <c r="BC19" s="25"/>
      <c r="BD19" s="25"/>
      <c r="BE19" s="25">
        <f t="shared" si="0"/>
        <v>1.3061224489795917</v>
      </c>
    </row>
    <row r="20" spans="1:57" x14ac:dyDescent="0.25">
      <c r="A20" s="111"/>
      <c r="B20" s="14" t="s">
        <v>337</v>
      </c>
      <c r="C20" s="14" t="s">
        <v>338</v>
      </c>
      <c r="D20" s="25">
        <v>33</v>
      </c>
      <c r="E20" s="25">
        <v>2</v>
      </c>
      <c r="F20" s="25">
        <v>4</v>
      </c>
      <c r="G20" s="25">
        <v>5</v>
      </c>
      <c r="H20" s="25">
        <v>17</v>
      </c>
      <c r="I20" s="25">
        <v>26</v>
      </c>
      <c r="J20" s="25">
        <v>6</v>
      </c>
      <c r="K20" s="25">
        <v>3</v>
      </c>
      <c r="L20" s="25">
        <v>3</v>
      </c>
      <c r="M20" s="25">
        <v>2</v>
      </c>
      <c r="N20" s="25">
        <v>6</v>
      </c>
      <c r="O20" s="25">
        <v>4</v>
      </c>
      <c r="P20" s="25">
        <v>2</v>
      </c>
      <c r="Q20" s="25">
        <v>2</v>
      </c>
      <c r="R20" s="25">
        <v>3</v>
      </c>
      <c r="S20" s="25">
        <v>2</v>
      </c>
      <c r="T20" s="25">
        <v>3</v>
      </c>
      <c r="U20" s="25">
        <v>1</v>
      </c>
      <c r="V20" s="25">
        <v>1</v>
      </c>
      <c r="W20" s="25">
        <v>1</v>
      </c>
      <c r="X20" s="25">
        <v>1</v>
      </c>
      <c r="Y20" s="25">
        <v>5</v>
      </c>
      <c r="Z20" s="25">
        <v>5</v>
      </c>
      <c r="AA20">
        <v>3</v>
      </c>
      <c r="AB20" s="44">
        <v>4</v>
      </c>
      <c r="AC20">
        <v>3</v>
      </c>
      <c r="AD20">
        <v>1</v>
      </c>
      <c r="AE20">
        <v>2</v>
      </c>
      <c r="AF20" s="25">
        <v>3</v>
      </c>
      <c r="AG20" s="25">
        <v>3</v>
      </c>
      <c r="AH20" s="25">
        <v>4</v>
      </c>
      <c r="AI20" s="25">
        <v>5</v>
      </c>
      <c r="AJ20" s="25">
        <v>4</v>
      </c>
      <c r="AK20" s="25">
        <v>5</v>
      </c>
      <c r="AL20" s="25">
        <v>3</v>
      </c>
      <c r="AM20" s="25">
        <v>4</v>
      </c>
      <c r="AN20" s="25">
        <v>2</v>
      </c>
      <c r="AO20" s="25">
        <v>3</v>
      </c>
      <c r="AP20" s="25">
        <v>3</v>
      </c>
      <c r="AQ20" s="25">
        <v>2</v>
      </c>
      <c r="AR20" s="25">
        <v>3</v>
      </c>
      <c r="AS20" s="25">
        <v>1</v>
      </c>
      <c r="AT20" s="25">
        <v>3</v>
      </c>
      <c r="AU20" s="25">
        <v>4</v>
      </c>
      <c r="AV20" s="25">
        <v>4</v>
      </c>
      <c r="AW20" s="25">
        <v>4</v>
      </c>
      <c r="AX20" s="25">
        <v>4</v>
      </c>
      <c r="AY20" s="25">
        <v>4</v>
      </c>
      <c r="AZ20" s="25">
        <v>1</v>
      </c>
      <c r="BA20" s="25">
        <v>4</v>
      </c>
      <c r="BB20" s="25"/>
      <c r="BC20" s="25"/>
      <c r="BD20" s="25"/>
      <c r="BE20" s="25">
        <f>AVERAGE(D20:BA20)</f>
        <v>4.46</v>
      </c>
    </row>
    <row r="21" spans="1:57" x14ac:dyDescent="0.25">
      <c r="A21" s="111"/>
      <c r="B21" s="14" t="s">
        <v>126</v>
      </c>
      <c r="C21" s="14">
        <v>1</v>
      </c>
      <c r="D21" s="11">
        <v>0</v>
      </c>
      <c r="E21" s="11">
        <v>0</v>
      </c>
      <c r="F21" s="11">
        <v>1</v>
      </c>
      <c r="G21" s="11">
        <v>0</v>
      </c>
      <c r="H21" s="25">
        <v>1</v>
      </c>
      <c r="I21" s="11">
        <v>0</v>
      </c>
      <c r="J21" s="11">
        <v>0</v>
      </c>
      <c r="K21" s="11">
        <v>0</v>
      </c>
      <c r="L21" s="11">
        <v>2</v>
      </c>
      <c r="M21" s="11">
        <v>0</v>
      </c>
      <c r="N21" s="11">
        <v>1</v>
      </c>
      <c r="O21" s="11">
        <v>3</v>
      </c>
      <c r="P21" s="11">
        <v>2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2</v>
      </c>
      <c r="Z21" s="11">
        <v>2</v>
      </c>
      <c r="AA21" s="46">
        <v>0</v>
      </c>
      <c r="AB21" s="45">
        <v>2</v>
      </c>
      <c r="AC21">
        <v>4</v>
      </c>
      <c r="AD21">
        <v>0</v>
      </c>
      <c r="AE21">
        <v>1</v>
      </c>
      <c r="AF21" s="11">
        <v>1</v>
      </c>
      <c r="AG21" s="11">
        <v>1</v>
      </c>
      <c r="AH21" s="11">
        <v>0</v>
      </c>
      <c r="AI21" s="11">
        <v>0</v>
      </c>
      <c r="AJ21" s="11">
        <v>2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1</v>
      </c>
      <c r="AT21" s="11">
        <v>2</v>
      </c>
      <c r="AU21" s="11">
        <v>0</v>
      </c>
      <c r="AV21" s="11">
        <v>0</v>
      </c>
      <c r="AW21" s="11">
        <v>0</v>
      </c>
      <c r="AX21" s="11">
        <v>1</v>
      </c>
      <c r="AY21" s="11">
        <v>1</v>
      </c>
      <c r="AZ21" s="11">
        <v>0</v>
      </c>
      <c r="BA21" s="11">
        <v>0</v>
      </c>
      <c r="BB21" s="11"/>
      <c r="BC21" s="11"/>
      <c r="BD21" s="11"/>
      <c r="BE21" s="11">
        <f t="shared" si="0"/>
        <v>0.61224489795918369</v>
      </c>
    </row>
  </sheetData>
  <mergeCells count="5">
    <mergeCell ref="A5:A15"/>
    <mergeCell ref="B1:O1"/>
    <mergeCell ref="A17:A18"/>
    <mergeCell ref="A19:A21"/>
    <mergeCell ref="D3:O3"/>
  </mergeCells>
  <conditionalFormatting sqref="D5:AB5">
    <cfRule type="expression" dxfId="1" priority="2">
      <formula>D5&gt;$C$5</formula>
    </cfRule>
  </conditionalFormatting>
  <conditionalFormatting sqref="AF5:BE5">
    <cfRule type="expression" dxfId="0" priority="1">
      <formula>AF5&gt;$C$5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>
      <selection activeCell="B25" sqref="B25"/>
    </sheetView>
  </sheetViews>
  <sheetFormatPr defaultRowHeight="15" x14ac:dyDescent="0.25"/>
  <cols>
    <col min="1" max="1" width="37.140625" bestFit="1" customWidth="1"/>
    <col min="2" max="2" width="10.42578125" bestFit="1" customWidth="1"/>
    <col min="3" max="3" width="7.85546875" bestFit="1" customWidth="1"/>
    <col min="4" max="4" width="6.5703125" bestFit="1" customWidth="1"/>
    <col min="5" max="5" width="7.85546875" bestFit="1" customWidth="1"/>
    <col min="6" max="6" width="7.85546875" customWidth="1"/>
    <col min="7" max="7" width="9.140625" bestFit="1" customWidth="1"/>
    <col min="8" max="8" width="8.5703125" bestFit="1" customWidth="1"/>
    <col min="9" max="9" width="12.5703125" bestFit="1" customWidth="1"/>
    <col min="10" max="10" width="9.5703125" bestFit="1" customWidth="1"/>
    <col min="11" max="11" width="12" bestFit="1" customWidth="1"/>
    <col min="12" max="12" width="11.85546875" bestFit="1" customWidth="1"/>
  </cols>
  <sheetData>
    <row r="1" spans="1:12" ht="20.25" thickBot="1" x14ac:dyDescent="0.35">
      <c r="A1" s="107" t="s">
        <v>339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ht="15.75" thickTop="1" x14ac:dyDescent="0.25"/>
    <row r="4" spans="1:12" ht="18" thickBot="1" x14ac:dyDescent="0.35">
      <c r="A4" s="1" t="s">
        <v>2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</row>
    <row r="5" spans="1:12" ht="16.5" thickTop="1" thickBot="1" x14ac:dyDescent="0.3">
      <c r="A5" s="2" t="s">
        <v>340</v>
      </c>
      <c r="C5">
        <v>138</v>
      </c>
      <c r="D5">
        <v>178</v>
      </c>
      <c r="E5" t="s">
        <v>341</v>
      </c>
      <c r="F5" t="s">
        <v>342</v>
      </c>
      <c r="G5" t="s">
        <v>343</v>
      </c>
      <c r="H5" t="s">
        <v>344</v>
      </c>
      <c r="I5" t="s">
        <v>345</v>
      </c>
      <c r="J5" t="s">
        <v>346</v>
      </c>
      <c r="K5" t="s">
        <v>347</v>
      </c>
      <c r="L5" t="s">
        <v>348</v>
      </c>
    </row>
    <row r="6" spans="1:12" ht="15.75" thickBot="1" x14ac:dyDescent="0.3">
      <c r="A6" s="2" t="s">
        <v>349</v>
      </c>
      <c r="C6">
        <v>42</v>
      </c>
      <c r="D6">
        <v>56</v>
      </c>
      <c r="E6">
        <v>50</v>
      </c>
      <c r="F6">
        <v>49</v>
      </c>
      <c r="G6">
        <v>51</v>
      </c>
      <c r="H6">
        <v>40</v>
      </c>
      <c r="I6">
        <v>41</v>
      </c>
      <c r="J6">
        <v>62</v>
      </c>
      <c r="K6">
        <v>65</v>
      </c>
      <c r="L6">
        <v>37</v>
      </c>
    </row>
    <row r="7" spans="1:12" ht="15.75" thickBot="1" x14ac:dyDescent="0.3">
      <c r="A7" s="2" t="s">
        <v>350</v>
      </c>
      <c r="E7" t="s">
        <v>351</v>
      </c>
      <c r="F7" t="s">
        <v>352</v>
      </c>
      <c r="G7" t="s">
        <v>353</v>
      </c>
      <c r="H7" t="s">
        <v>354</v>
      </c>
      <c r="I7" t="s">
        <v>355</v>
      </c>
      <c r="J7" t="s">
        <v>356</v>
      </c>
      <c r="K7" t="s">
        <v>357</v>
      </c>
      <c r="L7" t="s">
        <v>358</v>
      </c>
    </row>
    <row r="8" spans="1:12" ht="15.75" thickBot="1" x14ac:dyDescent="0.3">
      <c r="A8" s="2" t="s">
        <v>82</v>
      </c>
      <c r="E8" t="s">
        <v>359</v>
      </c>
      <c r="F8" t="s">
        <v>360</v>
      </c>
      <c r="G8" t="s">
        <v>361</v>
      </c>
      <c r="H8" t="s">
        <v>362</v>
      </c>
      <c r="I8" t="s">
        <v>363</v>
      </c>
      <c r="J8" t="s">
        <v>364</v>
      </c>
      <c r="K8" t="s">
        <v>365</v>
      </c>
      <c r="L8" t="s">
        <v>361</v>
      </c>
    </row>
    <row r="9" spans="1:12" ht="15.75" thickBot="1" x14ac:dyDescent="0.3">
      <c r="A9" s="2" t="s">
        <v>366</v>
      </c>
      <c r="F9" s="5">
        <v>0.99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</row>
    <row r="10" spans="1:12" ht="15.75" thickBot="1" x14ac:dyDescent="0.3">
      <c r="A10" s="2" t="s">
        <v>367</v>
      </c>
      <c r="F10" s="5">
        <v>0.99</v>
      </c>
      <c r="G10" s="5">
        <v>1</v>
      </c>
      <c r="H10" s="5">
        <v>1</v>
      </c>
      <c r="I10" s="5">
        <v>0.99</v>
      </c>
      <c r="J10" s="5">
        <v>0.99</v>
      </c>
      <c r="K10" s="5">
        <v>1</v>
      </c>
      <c r="L10" s="5">
        <v>1</v>
      </c>
    </row>
    <row r="11" spans="1:12" ht="15.75" thickBot="1" x14ac:dyDescent="0.3">
      <c r="A11" s="2" t="s">
        <v>120</v>
      </c>
      <c r="B11" s="3"/>
      <c r="C11" s="3"/>
      <c r="D11" s="3"/>
      <c r="E11" s="3"/>
      <c r="F11" s="3">
        <v>0.89629999999999999</v>
      </c>
      <c r="G11" s="3">
        <v>0.7923</v>
      </c>
      <c r="H11">
        <v>84.68</v>
      </c>
      <c r="I11" s="3">
        <v>0.82640000000000002</v>
      </c>
      <c r="J11" s="4">
        <v>0.7087</v>
      </c>
      <c r="K11" s="3">
        <v>0.6048</v>
      </c>
      <c r="L11" s="3">
        <v>0.97560000000000002</v>
      </c>
    </row>
    <row r="12" spans="1:12" ht="15.75" hidden="1" thickBot="1" x14ac:dyDescent="0.3">
      <c r="A12" s="2" t="s">
        <v>121</v>
      </c>
      <c r="B12">
        <v>63</v>
      </c>
      <c r="C12">
        <v>3</v>
      </c>
      <c r="D12">
        <v>2</v>
      </c>
      <c r="E12">
        <v>0</v>
      </c>
      <c r="F12">
        <v>0</v>
      </c>
    </row>
    <row r="13" spans="1:12" ht="15.75" thickBot="1" x14ac:dyDescent="0.3">
      <c r="A13" s="2" t="s">
        <v>368</v>
      </c>
      <c r="B13">
        <v>18</v>
      </c>
      <c r="C13">
        <v>18</v>
      </c>
      <c r="D13">
        <v>16</v>
      </c>
      <c r="E13">
        <v>12</v>
      </c>
      <c r="F13">
        <v>9</v>
      </c>
      <c r="G13">
        <v>7</v>
      </c>
      <c r="H13">
        <v>2</v>
      </c>
      <c r="I13">
        <v>2</v>
      </c>
      <c r="J13">
        <v>2</v>
      </c>
      <c r="K13" s="7">
        <v>2</v>
      </c>
      <c r="L13">
        <v>2</v>
      </c>
    </row>
    <row r="14" spans="1:12" ht="15.75" hidden="1" thickBot="1" x14ac:dyDescent="0.3">
      <c r="A14" s="2" t="s">
        <v>122</v>
      </c>
      <c r="B14">
        <v>1</v>
      </c>
      <c r="C14">
        <v>1</v>
      </c>
      <c r="D14">
        <v>1</v>
      </c>
      <c r="E14">
        <v>1</v>
      </c>
      <c r="F14">
        <v>0</v>
      </c>
    </row>
    <row r="15" spans="1:12" ht="15.75" thickBot="1" x14ac:dyDescent="0.3">
      <c r="A15" s="2" t="s">
        <v>123</v>
      </c>
      <c r="C15" s="5">
        <v>0.98</v>
      </c>
      <c r="D15" t="s">
        <v>369</v>
      </c>
      <c r="E15" t="s">
        <v>369</v>
      </c>
      <c r="F15" s="4">
        <v>0.97</v>
      </c>
      <c r="G15" t="s">
        <v>369</v>
      </c>
      <c r="H15" t="s">
        <v>369</v>
      </c>
      <c r="I15" s="3">
        <v>0.96</v>
      </c>
      <c r="J15" t="s">
        <v>369</v>
      </c>
      <c r="K15" t="s">
        <v>369</v>
      </c>
      <c r="L15" s="3">
        <v>0.7</v>
      </c>
    </row>
    <row r="16" spans="1:12" ht="15.75" thickBot="1" x14ac:dyDescent="0.3">
      <c r="A16" s="2" t="s">
        <v>124</v>
      </c>
      <c r="B16" s="4">
        <v>0.10100000000000001</v>
      </c>
      <c r="C16" s="4">
        <v>6.4000000000000001E-2</v>
      </c>
      <c r="D16" s="4">
        <v>1.7999999999999999E-2</v>
      </c>
      <c r="E16" s="4">
        <v>2.8000000000000001E-2</v>
      </c>
      <c r="F16" s="4">
        <v>1.7999999999999999E-2</v>
      </c>
      <c r="G16" s="4">
        <v>0.27600000000000002</v>
      </c>
      <c r="H16" s="4">
        <v>6.4100000000000004E-2</v>
      </c>
      <c r="I16" s="4">
        <v>0.05</v>
      </c>
      <c r="J16" s="4">
        <v>1.2999999999999999E-2</v>
      </c>
      <c r="K16" s="4">
        <v>3.3300000000000003E-2</v>
      </c>
      <c r="L16" s="4">
        <v>4.82E-2</v>
      </c>
    </row>
    <row r="17" spans="1:16" ht="15.75" thickBot="1" x14ac:dyDescent="0.3">
      <c r="A17" s="2" t="s">
        <v>126</v>
      </c>
      <c r="B17">
        <v>8</v>
      </c>
      <c r="C17">
        <v>5</v>
      </c>
      <c r="D17">
        <v>2</v>
      </c>
      <c r="E17">
        <v>2</v>
      </c>
      <c r="F17">
        <v>5</v>
      </c>
      <c r="G17">
        <v>21</v>
      </c>
      <c r="H17">
        <v>4</v>
      </c>
      <c r="I17">
        <v>5</v>
      </c>
      <c r="J17">
        <v>1</v>
      </c>
      <c r="K17">
        <v>3</v>
      </c>
      <c r="L17">
        <v>3</v>
      </c>
    </row>
    <row r="18" spans="1:16" ht="15.75" thickBot="1" x14ac:dyDescent="0.3">
      <c r="A18" s="2" t="s">
        <v>135</v>
      </c>
      <c r="H18" s="6">
        <v>1585</v>
      </c>
      <c r="I18" s="6">
        <v>1807</v>
      </c>
      <c r="J18" s="6">
        <v>1521</v>
      </c>
      <c r="K18" s="6">
        <v>1263</v>
      </c>
      <c r="L18" s="6">
        <v>1117</v>
      </c>
      <c r="M18" s="6"/>
      <c r="N18" s="6"/>
      <c r="O18" s="6"/>
      <c r="P18" s="6"/>
    </row>
    <row r="19" spans="1:16" ht="15.75" thickBot="1" x14ac:dyDescent="0.3">
      <c r="A19" s="2" t="s">
        <v>137</v>
      </c>
      <c r="H19" s="6">
        <v>18997</v>
      </c>
      <c r="I19" s="6">
        <v>18414</v>
      </c>
      <c r="J19" s="6">
        <v>16538</v>
      </c>
      <c r="K19" s="6">
        <v>15737</v>
      </c>
      <c r="L19" s="6">
        <v>13082</v>
      </c>
      <c r="M19" s="6"/>
      <c r="N19" s="6"/>
      <c r="O19" s="6"/>
      <c r="P19" s="6"/>
    </row>
    <row r="20" spans="1:16" ht="15.75" thickBot="1" x14ac:dyDescent="0.3">
      <c r="A20" s="2" t="s">
        <v>139</v>
      </c>
      <c r="H20" s="6">
        <v>80244</v>
      </c>
      <c r="I20" s="6">
        <v>79345</v>
      </c>
      <c r="J20" s="6">
        <v>85150</v>
      </c>
      <c r="K20" s="6">
        <v>82295</v>
      </c>
      <c r="L20" s="6">
        <v>73085</v>
      </c>
      <c r="M20" s="6"/>
      <c r="N20" s="6"/>
      <c r="O20" s="6"/>
      <c r="P20" s="6"/>
    </row>
  </sheetData>
  <mergeCells count="1">
    <mergeCell ref="A1:L1"/>
  </mergeCells>
  <phoneticPr fontId="5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E763-6B5A-4285-B8BB-144967FE2537}">
  <dimension ref="A1:M20"/>
  <sheetViews>
    <sheetView workbookViewId="0">
      <selection activeCell="A2" sqref="A2"/>
    </sheetView>
  </sheetViews>
  <sheetFormatPr defaultRowHeight="15" x14ac:dyDescent="0.25"/>
  <cols>
    <col min="1" max="1" width="33.5703125" bestFit="1" customWidth="1"/>
    <col min="2" max="2" width="9" bestFit="1" customWidth="1"/>
    <col min="3" max="3" width="10.28515625" bestFit="1" customWidth="1"/>
    <col min="4" max="4" width="7.7109375" bestFit="1" customWidth="1"/>
    <col min="5" max="5" width="6" bestFit="1" customWidth="1"/>
    <col min="6" max="6" width="5.7109375" bestFit="1" customWidth="1"/>
    <col min="7" max="7" width="6" bestFit="1" customWidth="1"/>
    <col min="8" max="8" width="5.140625" bestFit="1" customWidth="1"/>
    <col min="9" max="9" width="8.28515625" bestFit="1" customWidth="1"/>
    <col min="10" max="10" width="12.5703125" bestFit="1" customWidth="1"/>
    <col min="11" max="11" width="9.5703125" bestFit="1" customWidth="1"/>
    <col min="12" max="12" width="12" bestFit="1" customWidth="1"/>
    <col min="13" max="13" width="11.85546875" bestFit="1" customWidth="1"/>
  </cols>
  <sheetData>
    <row r="1" spans="1:13" ht="20.25" thickBot="1" x14ac:dyDescent="0.35">
      <c r="A1" s="107" t="s">
        <v>370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3" ht="15.75" thickTop="1" x14ac:dyDescent="0.25"/>
    <row r="4" spans="1:13" ht="18" thickBot="1" x14ac:dyDescent="0.35">
      <c r="A4" s="1" t="s">
        <v>2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15.75" thickTop="1" x14ac:dyDescent="0.25">
      <c r="A5" t="s">
        <v>371</v>
      </c>
    </row>
    <row r="6" spans="1:13" x14ac:dyDescent="0.25">
      <c r="A6" t="s">
        <v>372</v>
      </c>
    </row>
    <row r="7" spans="1:13" x14ac:dyDescent="0.25">
      <c r="A7" t="s">
        <v>373</v>
      </c>
    </row>
    <row r="8" spans="1:13" x14ac:dyDescent="0.25">
      <c r="A8" t="s">
        <v>374</v>
      </c>
    </row>
    <row r="9" spans="1:13" x14ac:dyDescent="0.25">
      <c r="A9" t="s">
        <v>375</v>
      </c>
    </row>
    <row r="10" spans="1:13" x14ac:dyDescent="0.25">
      <c r="A10" t="s">
        <v>376</v>
      </c>
    </row>
    <row r="11" spans="1:13" x14ac:dyDescent="0.25">
      <c r="A11" t="s">
        <v>377</v>
      </c>
    </row>
    <row r="12" spans="1:13" x14ac:dyDescent="0.25">
      <c r="A12" t="s">
        <v>378</v>
      </c>
    </row>
    <row r="13" spans="1:13" x14ac:dyDescent="0.25">
      <c r="A13" t="s">
        <v>379</v>
      </c>
    </row>
    <row r="15" spans="1:13" ht="15.75" thickBot="1" x14ac:dyDescent="0.3">
      <c r="A15" s="2"/>
    </row>
    <row r="16" spans="1:13" ht="15.75" thickBot="1" x14ac:dyDescent="0.3">
      <c r="A16" s="2"/>
    </row>
    <row r="17" spans="1:1" ht="15.75" thickBot="1" x14ac:dyDescent="0.3">
      <c r="A17" s="2"/>
    </row>
    <row r="18" spans="1:1" ht="15.75" thickBot="1" x14ac:dyDescent="0.3">
      <c r="A18" s="2"/>
    </row>
    <row r="19" spans="1:1" ht="15.75" thickBot="1" x14ac:dyDescent="0.3">
      <c r="A19" s="2"/>
    </row>
    <row r="20" spans="1:1" ht="15.75" thickBot="1" x14ac:dyDescent="0.3">
      <c r="A20" s="2"/>
    </row>
  </sheetData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2E14-396A-4B07-8D09-32C0D76F42D8}">
  <dimension ref="A1:Q31"/>
  <sheetViews>
    <sheetView workbookViewId="0">
      <selection activeCell="B21" sqref="B21"/>
    </sheetView>
  </sheetViews>
  <sheetFormatPr defaultRowHeight="15" x14ac:dyDescent="0.25"/>
  <cols>
    <col min="1" max="1" width="8.140625" bestFit="1" customWidth="1"/>
    <col min="2" max="2" width="44.28515625" customWidth="1"/>
    <col min="3" max="3" width="17.7109375" customWidth="1"/>
    <col min="4" max="4" width="18.5703125" bestFit="1" customWidth="1"/>
    <col min="5" max="6" width="19" bestFit="1" customWidth="1"/>
    <col min="7" max="7" width="18.85546875" bestFit="1" customWidth="1"/>
    <col min="8" max="8" width="17.42578125" bestFit="1" customWidth="1"/>
    <col min="9" max="9" width="18.140625" bestFit="1" customWidth="1"/>
    <col min="10" max="10" width="20.140625" bestFit="1" customWidth="1"/>
    <col min="11" max="11" width="18.85546875" customWidth="1"/>
    <col min="12" max="12" width="18.5703125" bestFit="1" customWidth="1"/>
    <col min="13" max="13" width="18.42578125" bestFit="1" customWidth="1"/>
    <col min="14" max="14" width="18.5703125" bestFit="1" customWidth="1"/>
    <col min="15" max="15" width="11.7109375" bestFit="1" customWidth="1"/>
    <col min="16" max="16" width="12.5703125" bestFit="1" customWidth="1"/>
  </cols>
  <sheetData>
    <row r="1" spans="1:16" ht="19.5" x14ac:dyDescent="0.3"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4" spans="1:16" ht="17.25" x14ac:dyDescent="0.3">
      <c r="A4" t="s">
        <v>1</v>
      </c>
      <c r="B4" s="1" t="s">
        <v>2</v>
      </c>
      <c r="C4" s="1" t="s">
        <v>78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t="s">
        <v>17</v>
      </c>
    </row>
    <row r="5" spans="1:16" ht="17.25" x14ac:dyDescent="0.3">
      <c r="A5" s="126" t="s">
        <v>83</v>
      </c>
      <c r="B5" s="12" t="s">
        <v>380</v>
      </c>
      <c r="C5" s="12" t="s">
        <v>381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"/>
    </row>
    <row r="6" spans="1:16" x14ac:dyDescent="0.25">
      <c r="A6" s="127"/>
      <c r="B6" s="12" t="s">
        <v>382</v>
      </c>
      <c r="C6" s="12" t="s">
        <v>383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t="e">
        <f>AVERAGE(D6:O6)</f>
        <v>#DIV/0!</v>
      </c>
    </row>
    <row r="7" spans="1:16" x14ac:dyDescent="0.25">
      <c r="A7" s="127"/>
      <c r="B7" s="12" t="s">
        <v>384</v>
      </c>
      <c r="C7" s="12" t="s">
        <v>87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6" x14ac:dyDescent="0.25">
      <c r="A8" s="127"/>
      <c r="B8" s="12" t="s">
        <v>385</v>
      </c>
      <c r="C8" s="12" t="s">
        <v>211</v>
      </c>
      <c r="D8" s="36"/>
      <c r="E8" s="36"/>
      <c r="F8" s="36"/>
      <c r="G8" s="36"/>
      <c r="H8" s="36"/>
      <c r="I8" s="9"/>
      <c r="J8" s="9"/>
      <c r="K8" s="9"/>
      <c r="L8" s="9"/>
      <c r="M8" s="9"/>
      <c r="N8" s="9"/>
      <c r="O8" s="9"/>
      <c r="P8" t="e">
        <f t="shared" ref="P8:P19" si="0">AVERAGE(D8:O8)</f>
        <v>#DIV/0!</v>
      </c>
    </row>
    <row r="9" spans="1:16" x14ac:dyDescent="0.25">
      <c r="A9" s="127"/>
      <c r="B9" s="12" t="s">
        <v>193</v>
      </c>
      <c r="C9" s="17">
        <v>0.9</v>
      </c>
      <c r="D9" s="16"/>
      <c r="E9" s="16"/>
      <c r="F9" s="10"/>
      <c r="G9" s="16"/>
      <c r="H9" s="10"/>
      <c r="I9" s="10"/>
      <c r="J9" s="9"/>
      <c r="K9" s="16"/>
      <c r="L9" s="48"/>
      <c r="M9" s="10"/>
      <c r="N9" s="16"/>
      <c r="O9" s="9"/>
      <c r="P9" t="e">
        <f t="shared" si="0"/>
        <v>#DIV/0!</v>
      </c>
    </row>
    <row r="10" spans="1:16" x14ac:dyDescent="0.25">
      <c r="A10" s="127"/>
      <c r="B10" s="12" t="s">
        <v>386</v>
      </c>
      <c r="C10" s="17">
        <v>0.9</v>
      </c>
      <c r="D10" s="16"/>
      <c r="E10" s="16"/>
      <c r="F10" s="16"/>
      <c r="G10" s="16"/>
      <c r="H10" s="16"/>
      <c r="I10" s="16"/>
      <c r="J10" s="10"/>
      <c r="K10" s="16"/>
      <c r="L10" s="16"/>
      <c r="M10" s="16"/>
      <c r="N10" s="16"/>
      <c r="O10" s="16"/>
      <c r="P10" s="5" t="e">
        <f t="shared" si="0"/>
        <v>#DIV/0!</v>
      </c>
    </row>
    <row r="11" spans="1:16" x14ac:dyDescent="0.25">
      <c r="A11" s="127"/>
      <c r="B11" s="12" t="s">
        <v>387</v>
      </c>
      <c r="C11" s="17">
        <v>0.9</v>
      </c>
      <c r="D11" s="16"/>
      <c r="E11" s="16"/>
      <c r="F11" s="16"/>
      <c r="G11" s="16"/>
      <c r="H11" s="16"/>
      <c r="I11" s="16"/>
      <c r="J11" s="10"/>
      <c r="K11" s="16"/>
      <c r="L11" s="16"/>
      <c r="M11" s="16"/>
      <c r="N11" s="16"/>
      <c r="O11" s="16"/>
      <c r="P11" s="5" t="e">
        <f t="shared" si="0"/>
        <v>#DIV/0!</v>
      </c>
    </row>
    <row r="12" spans="1:16" x14ac:dyDescent="0.25">
      <c r="A12" s="128"/>
      <c r="B12" s="12" t="s">
        <v>388</v>
      </c>
      <c r="C12" s="17" t="s">
        <v>214</v>
      </c>
      <c r="D12" s="22"/>
      <c r="E12" s="30"/>
      <c r="F12" s="30"/>
      <c r="G12" s="28"/>
      <c r="H12" s="28"/>
      <c r="I12" s="28"/>
      <c r="J12" s="29"/>
      <c r="K12" s="28"/>
      <c r="L12" s="28"/>
      <c r="M12" s="28"/>
      <c r="N12" s="28"/>
      <c r="O12" s="28"/>
      <c r="P12" s="5" t="e">
        <f t="shared" si="0"/>
        <v>#DIV/0!</v>
      </c>
    </row>
    <row r="13" spans="1:16" x14ac:dyDescent="0.25">
      <c r="A13" s="108" t="s">
        <v>116</v>
      </c>
      <c r="B13" s="13" t="s">
        <v>117</v>
      </c>
      <c r="C13" s="18">
        <v>1</v>
      </c>
      <c r="D13" s="5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5" t="e">
        <f t="shared" si="0"/>
        <v>#DIV/0!</v>
      </c>
    </row>
    <row r="14" spans="1:16" x14ac:dyDescent="0.25">
      <c r="A14" s="108"/>
      <c r="B14" s="13" t="s">
        <v>118</v>
      </c>
      <c r="C14" s="18">
        <v>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5" t="e">
        <f>AVERAGE(D14:O14)</f>
        <v>#DIV/0!</v>
      </c>
    </row>
    <row r="15" spans="1:16" x14ac:dyDescent="0.25">
      <c r="A15" s="110" t="s">
        <v>119</v>
      </c>
      <c r="B15" s="14" t="s">
        <v>215</v>
      </c>
      <c r="C15" s="19">
        <v>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5" t="e">
        <f t="shared" si="0"/>
        <v>#DIV/0!</v>
      </c>
    </row>
    <row r="16" spans="1:16" x14ac:dyDescent="0.25">
      <c r="A16" s="111"/>
      <c r="B16" s="14" t="s">
        <v>123</v>
      </c>
      <c r="C16" s="19">
        <v>1</v>
      </c>
      <c r="D16" s="123">
        <v>45717</v>
      </c>
      <c r="E16" s="124"/>
      <c r="F16" s="125"/>
      <c r="G16" s="123">
        <v>45809</v>
      </c>
      <c r="H16" s="124"/>
      <c r="I16" s="125"/>
      <c r="J16" s="123">
        <v>45901</v>
      </c>
      <c r="K16" s="124"/>
      <c r="L16" s="125"/>
      <c r="M16" s="123">
        <v>45992</v>
      </c>
      <c r="N16" s="124"/>
      <c r="O16" s="125"/>
      <c r="P16" s="5">
        <f t="shared" si="0"/>
        <v>45854.75</v>
      </c>
    </row>
    <row r="17" spans="1:17" x14ac:dyDescent="0.25">
      <c r="A17" s="111"/>
      <c r="B17" s="14" t="s">
        <v>126</v>
      </c>
      <c r="C17" s="14" t="s">
        <v>127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22" t="e">
        <f t="shared" si="0"/>
        <v>#DIV/0!</v>
      </c>
    </row>
    <row r="18" spans="1:17" x14ac:dyDescent="0.25">
      <c r="A18" s="112"/>
      <c r="B18" s="14" t="s">
        <v>132</v>
      </c>
      <c r="C18" s="14" t="s">
        <v>133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22" t="e">
        <f t="shared" si="0"/>
        <v>#DIV/0!</v>
      </c>
    </row>
    <row r="19" spans="1:17" x14ac:dyDescent="0.25">
      <c r="A19" s="49" t="s">
        <v>134</v>
      </c>
      <c r="B19" s="15" t="s">
        <v>389</v>
      </c>
      <c r="C19" s="15" t="s">
        <v>390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22" t="e">
        <f t="shared" si="0"/>
        <v>#DIV/0!</v>
      </c>
      <c r="Q19" s="6"/>
    </row>
    <row r="21" spans="1:17" x14ac:dyDescent="0.25">
      <c r="D21" t="s">
        <v>68</v>
      </c>
      <c r="E21" t="s">
        <v>68</v>
      </c>
      <c r="F21" t="s">
        <v>68</v>
      </c>
      <c r="G21" t="s">
        <v>68</v>
      </c>
      <c r="H21" t="s">
        <v>68</v>
      </c>
      <c r="I21" t="s">
        <v>68</v>
      </c>
      <c r="J21" t="s">
        <v>68</v>
      </c>
      <c r="K21" t="s">
        <v>68</v>
      </c>
      <c r="L21" t="s">
        <v>68</v>
      </c>
      <c r="M21" t="s">
        <v>68</v>
      </c>
      <c r="N21" t="s">
        <v>68</v>
      </c>
      <c r="O21" t="s">
        <v>68</v>
      </c>
    </row>
    <row r="22" spans="1:17" x14ac:dyDescent="0.25">
      <c r="D22" t="s">
        <v>391</v>
      </c>
    </row>
    <row r="26" spans="1:17" x14ac:dyDescent="0.25">
      <c r="B26" s="21" t="s">
        <v>69</v>
      </c>
      <c r="C26" s="21" t="s">
        <v>142</v>
      </c>
    </row>
    <row r="27" spans="1:17" x14ac:dyDescent="0.25">
      <c r="C27" s="20"/>
    </row>
    <row r="31" spans="1:17" x14ac:dyDescent="0.25">
      <c r="C31" s="20"/>
    </row>
  </sheetData>
  <mergeCells count="8">
    <mergeCell ref="B1:O1"/>
    <mergeCell ref="A13:A14"/>
    <mergeCell ref="A15:A18"/>
    <mergeCell ref="D16:F16"/>
    <mergeCell ref="G16:I16"/>
    <mergeCell ref="J16:L16"/>
    <mergeCell ref="M16:O16"/>
    <mergeCell ref="A5:A1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DCC97346226C488C3DF51B4D368E5B" ma:contentTypeVersion="15" ma:contentTypeDescription="Create a new document." ma:contentTypeScope="" ma:versionID="c69a46c235a1197a82d6d84ecc819079">
  <xsd:schema xmlns:xsd="http://www.w3.org/2001/XMLSchema" xmlns:xs="http://www.w3.org/2001/XMLSchema" xmlns:p="http://schemas.microsoft.com/office/2006/metadata/properties" xmlns:ns2="ff3e0601-cd2b-4185-83e2-841eb56a1fc6" xmlns:ns3="d4baed55-c07d-433f-9215-4a1fd0792b8c" targetNamespace="http://schemas.microsoft.com/office/2006/metadata/properties" ma:root="true" ma:fieldsID="db786d6adc6aeaa0f5947bb250146d0e" ns2:_="" ns3:_="">
    <xsd:import namespace="ff3e0601-cd2b-4185-83e2-841eb56a1fc6"/>
    <xsd:import namespace="d4baed55-c07d-433f-9215-4a1fd0792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e0601-cd2b-4185-83e2-841eb56a1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74004e4-c946-41e9-b6a7-8c4ed4cff0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aed55-c07d-433f-9215-4a1fd0792b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66069a-56cc-4940-85c1-7c72f7666e10}" ma:internalName="TaxCatchAll" ma:showField="CatchAllData" ma:web="d4baed55-c07d-433f-9215-4a1fd0792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baed55-c07d-433f-9215-4a1fd0792b8c" xsi:nil="true"/>
    <lcf76f155ced4ddcb4097134ff3c332f xmlns="ff3e0601-cd2b-4185-83e2-841eb56a1fc6">
      <Terms xmlns="http://schemas.microsoft.com/office/infopath/2007/PartnerControls"/>
    </lcf76f155ced4ddcb4097134ff3c332f>
    <SharedWithUsers xmlns="d4baed55-c07d-433f-9215-4a1fd0792b8c">
      <UserInfo>
        <DisplayName>Melina Mwangi</DisplayName>
        <AccountId>30</AccountId>
        <AccountType/>
      </UserInfo>
      <UserInfo>
        <DisplayName>Chris Benjamin</DisplayName>
        <AccountId>12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0779EE2-171B-443B-846C-5BE5BB2480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3220E-617F-4C44-ADA9-AA326EA9B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3e0601-cd2b-4185-83e2-841eb56a1fc6"/>
    <ds:schemaRef ds:uri="d4baed55-c07d-433f-9215-4a1fd0792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1FCAF6-EF0A-4D7F-B0BA-A544D1DC08B4}">
  <ds:schemaRefs>
    <ds:schemaRef ds:uri="http://schemas.microsoft.com/office/2006/metadata/properties"/>
    <ds:schemaRef ds:uri="http://schemas.microsoft.com/office/infopath/2007/PartnerControls"/>
    <ds:schemaRef ds:uri="d4baed55-c07d-433f-9215-4a1fd0792b8c"/>
    <ds:schemaRef ds:uri="ff3e0601-cd2b-4185-83e2-841eb56a1f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IT Monthly 2026</vt:lpstr>
      <vt:lpstr>2024</vt:lpstr>
      <vt:lpstr>Sheet1</vt:lpstr>
      <vt:lpstr>EOS 2026</vt:lpstr>
      <vt:lpstr>IT Monthly 2025</vt:lpstr>
      <vt:lpstr>EOS 2025</vt:lpstr>
      <vt:lpstr>2023</vt:lpstr>
      <vt:lpstr>Todd KPI</vt:lpstr>
      <vt:lpstr>2026-old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Benjamin</dc:creator>
  <cp:keywords/>
  <dc:description/>
  <cp:lastModifiedBy>Chris Benjamin</cp:lastModifiedBy>
  <cp:revision/>
  <dcterms:created xsi:type="dcterms:W3CDTF">2015-06-05T18:17:20Z</dcterms:created>
  <dcterms:modified xsi:type="dcterms:W3CDTF">2026-01-21T18:38:51Z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0x010100CFDCC97346226C488C3DF51B4D368E5B</vt:lpwstr>
  </property>
  <property fmtid="{D5CDD505-2E9C-101B-9397-08002B2CF9AE}" pid="3" name="MediaServiceImageTags">
    <vt:lpwstr/>
  </property>
</Properties>
</file>